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rbandingan" sheetId="2" state="visible" r:id="rId2"/>
    <sheet xmlns:r="http://schemas.openxmlformats.org/officeDocument/2006/relationships" name="Jawaban 1 agent" sheetId="3" state="visible" r:id="rId3"/>
    <sheet xmlns:r="http://schemas.openxmlformats.org/officeDocument/2006/relationships" name="Jawaban multi-agent" sheetId="4" state="visible" r:id="rId4"/>
  </sheets>
  <definedNames>
    <definedName name="_xlnm._FilterDatabase" localSheetId="1" hidden="1">'Perbandingan'!$A$1:$R$23</definedName>
    <definedName name="_xlnm._FilterDatabase" localSheetId="2" hidden="1">'Jawaban 1 agent'!$A$1:$F$23</definedName>
    <definedName name="_xlnm._FilterDatabase" localSheetId="3" hidden="1">'Jawaban multi-agent'!$A$1:$L$23</definedName>
  </definedNames>
  <calcPr calcId="124519" fullCalcOnLoad="1"/>
</workbook>
</file>

<file path=xl/styles.xml><?xml version="1.0" encoding="utf-8"?>
<styleSheet xmlns="http://schemas.openxmlformats.org/spreadsheetml/2006/main">
  <numFmts count="3">
    <numFmt numFmtId="164" formatCode="0.0000"/>
    <numFmt numFmtId="165" formatCode="+0;-0;0"/>
    <numFmt numFmtId="166" formatCode="0.00;-0.00;0.00"/>
  </numFmts>
  <fonts count="8">
    <font>
      <name val="Calibri"/>
      <family val="2"/>
      <color theme="1"/>
      <sz val="11"/>
      <scheme val="minor"/>
    </font>
    <font>
      <name val="Arial"/>
      <b val="1"/>
      <color rgb="00FFFFFF"/>
    </font>
    <font>
      <name val="Arial"/>
      <sz val="10"/>
    </font>
    <font>
      <name val="Arial"/>
      <b val="1"/>
      <sz val="14"/>
    </font>
    <font>
      <name val="Arial"/>
      <i val="1"/>
      <color rgb="00595959"/>
      <sz val="9"/>
    </font>
    <font>
      <name val="Arial"/>
      <b val="1"/>
      <sz val="10"/>
    </font>
    <font>
      <name val="Arial"/>
      <b val="1"/>
      <color rgb="00595959"/>
      <sz val="9"/>
    </font>
    <font>
      <name val="Arial"/>
      <color rgb="00595959"/>
      <sz val="9"/>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applyAlignment="1" pivotButton="0" quotePrefix="0" xfId="0">
      <alignment wrapText="1"/>
    </xf>
    <xf numFmtId="0" fontId="1" fillId="2" borderId="0" pivotButton="0" quotePrefix="0" xfId="0"/>
    <xf numFmtId="0" fontId="2" fillId="0" borderId="1" pivotButton="0" quotePrefix="0" xfId="0"/>
    <xf numFmtId="166" fontId="2" fillId="0" borderId="1" pivotButton="0" quotePrefix="0" xfId="0"/>
    <xf numFmtId="0" fontId="5" fillId="3" borderId="1" pivotButton="0" quotePrefix="0" xfId="0"/>
    <xf numFmtId="166" fontId="5" fillId="3" borderId="1" pivotButton="0" quotePrefix="0" xfId="0"/>
    <xf numFmtId="1" fontId="2" fillId="0" borderId="1" pivotButton="0" quotePrefix="0" xfId="0"/>
    <xf numFmtId="164" fontId="2" fillId="0" borderId="1" pivotButton="0" quotePrefix="0" xfId="0"/>
    <xf numFmtId="0" fontId="2" fillId="0" borderId="0" pivotButton="0" quotePrefix="0" xfId="0"/>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5" fontId="2" fillId="0" borderId="1" applyAlignment="1" pivotButton="0" quotePrefix="0" xfId="0">
      <alignment vertical="top"/>
    </xf>
    <xf numFmtId="164"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s>
  <sheetData>
    <row r="1">
      <c r="A1" s="1" t="inlineStr">
        <is>
          <t>Eval v1.0: 1 agent vs multi-agent</t>
        </is>
      </c>
    </row>
    <row r="2" ht="40" customHeight="1">
      <c r="A2" s="2" t="inlineStr">
        <is>
          <t>Hanya soal yang dijalankan di keduanya (kolom 'Dibandingkan' = Ya). Skor 0-3 dari penilai LLM (exact match untuk angka database). Model: DeepSeek V4 (pro untuk ketua/pengecek/penilai, flash untuk child).</t>
        </is>
      </c>
    </row>
    <row r="4">
      <c r="A4" s="3" t="inlineStr">
        <is>
          <t>Kelompok</t>
        </is>
      </c>
      <c r="B4" s="3" t="inlineStr">
        <is>
          <t>Jumlah soal</t>
        </is>
      </c>
      <c r="C4" s="3" t="inlineStr">
        <is>
          <t>Skor 1 agent</t>
        </is>
      </c>
      <c r="D4" s="3" t="inlineStr">
        <is>
          <t>Skor multi-agent</t>
        </is>
      </c>
      <c r="E4" s="3" t="inlineStr">
        <is>
          <t>Selisih</t>
        </is>
      </c>
    </row>
    <row r="5">
      <c r="A5" s="4" t="inlineStr">
        <is>
          <t>Simple lookups</t>
        </is>
      </c>
      <c r="B5" s="4">
        <f>COUNTIFS(Perbandingan!$B$2:$B$23,A5,Perbandingan!$E$2:$E$23,"Ya")</f>
        <v/>
      </c>
      <c r="C5" s="5">
        <f>IF(B5=0,"-",AVERAGEIFS(Perbandingan!$F$2:$F$23,Perbandingan!$B$2:$B$23,A5,Perbandingan!$E$2:$E$23,"Ya"))</f>
        <v/>
      </c>
      <c r="D5" s="5">
        <f>IF(B5=0,"-",AVERAGEIFS(Perbandingan!$G$2:$G$23,Perbandingan!$B$2:$B$23,A5,Perbandingan!$E$2:$E$23,"Ya"))</f>
        <v/>
      </c>
      <c r="E5" s="5">
        <f>IF(B5=0,"-",D5-C5)</f>
        <v/>
      </c>
    </row>
    <row r="6">
      <c r="A6" s="4" t="inlineStr">
        <is>
          <t>Multi-part</t>
        </is>
      </c>
      <c r="B6" s="4">
        <f>COUNTIFS(Perbandingan!$B$2:$B$23,A6,Perbandingan!$E$2:$E$23,"Ya")</f>
        <v/>
      </c>
      <c r="C6" s="5">
        <f>IF(B6=0,"-",AVERAGEIFS(Perbandingan!$F$2:$F$23,Perbandingan!$B$2:$B$23,A6,Perbandingan!$E$2:$E$23,"Ya"))</f>
        <v/>
      </c>
      <c r="D6" s="5">
        <f>IF(B6=0,"-",AVERAGEIFS(Perbandingan!$G$2:$G$23,Perbandingan!$B$2:$B$23,A6,Perbandingan!$E$2:$E$23,"Ya"))</f>
        <v/>
      </c>
      <c r="E6" s="5">
        <f>IF(B6=0,"-",D6-C6)</f>
        <v/>
      </c>
    </row>
    <row r="7">
      <c r="A7" s="4" t="inlineStr">
        <is>
          <t>News + papers</t>
        </is>
      </c>
      <c r="B7" s="4">
        <f>COUNTIFS(Perbandingan!$B$2:$B$23,A7,Perbandingan!$E$2:$E$23,"Ya")</f>
        <v/>
      </c>
      <c r="C7" s="5">
        <f>IF(B7=0,"-",AVERAGEIFS(Perbandingan!$F$2:$F$23,Perbandingan!$B$2:$B$23,A7,Perbandingan!$E$2:$E$23,"Ya"))</f>
        <v/>
      </c>
      <c r="D7" s="5">
        <f>IF(B7=0,"-",AVERAGEIFS(Perbandingan!$G$2:$G$23,Perbandingan!$B$2:$B$23,A7,Perbandingan!$E$2:$E$23,"Ya"))</f>
        <v/>
      </c>
      <c r="E7" s="5">
        <f>IF(B7=0,"-",D7-C7)</f>
        <v/>
      </c>
    </row>
    <row r="8">
      <c r="A8" s="4" t="inlineStr">
        <is>
          <t>Judgement (debate)</t>
        </is>
      </c>
      <c r="B8" s="4">
        <f>COUNTIFS(Perbandingan!$B$2:$B$23,A8,Perbandingan!$E$2:$E$23,"Ya")</f>
        <v/>
      </c>
      <c r="C8" s="5">
        <f>IF(B8=0,"-",AVERAGEIFS(Perbandingan!$F$2:$F$23,Perbandingan!$B$2:$B$23,A8,Perbandingan!$E$2:$E$23,"Ya"))</f>
        <v/>
      </c>
      <c r="D8" s="5">
        <f>IF(B8=0,"-",AVERAGEIFS(Perbandingan!$G$2:$G$23,Perbandingan!$B$2:$B$23,A8,Perbandingan!$E$2:$E$23,"Ya"))</f>
        <v/>
      </c>
      <c r="E8" s="5">
        <f>IF(B8=0,"-",D8-C8)</f>
        <v/>
      </c>
    </row>
    <row r="9">
      <c r="A9" s="6" t="inlineStr">
        <is>
          <t>Semua</t>
        </is>
      </c>
      <c r="B9" s="6">
        <f>COUNTIFS(Perbandingan!$E$2:$E$23,"Ya")</f>
        <v/>
      </c>
      <c r="C9" s="7">
        <f>AVERAGEIFS(Perbandingan!$F$2:$F$23,Perbandingan!$E$2:$E$23,"Ya")</f>
        <v/>
      </c>
      <c r="D9" s="7">
        <f>AVERAGEIFS(Perbandingan!$G$2:$G$23,Perbandingan!$E$2:$E$23,"Ya")</f>
        <v/>
      </c>
      <c r="E9" s="7">
        <f>D9-C9</f>
        <v/>
      </c>
    </row>
    <row r="11">
      <c r="A11" s="3" t="inlineStr">
        <is>
          <t>Metrik</t>
        </is>
      </c>
      <c r="B11" s="3" t="n"/>
      <c r="C11" s="3" t="inlineStr">
        <is>
          <t>1 agent</t>
        </is>
      </c>
      <c r="D11" s="3" t="inlineStr">
        <is>
          <t>Multi-agent</t>
        </is>
      </c>
    </row>
    <row r="12">
      <c r="A12" s="4" t="inlineStr">
        <is>
          <t>Lulus (skor 2+)</t>
        </is>
      </c>
      <c r="C12" s="8">
        <f>COUNTIFS(Perbandingan!$E$2:$E$23,"Ya",Perbandingan!$F$2:$F$23,"&gt;=2")</f>
        <v/>
      </c>
      <c r="D12" s="8">
        <f>COUNTIFS(Perbandingan!$E$2:$E$23,"Ya",Perbandingan!$G$2:$G$23,"&gt;=2")</f>
        <v/>
      </c>
    </row>
    <row r="13">
      <c r="A13" s="4" t="inlineStr">
        <is>
          <t>Biaya rata-rata / soal ($)</t>
        </is>
      </c>
      <c r="C13" s="9">
        <f>AVERAGEIFS(Perbandingan!$I$2:$I$23,Perbandingan!$E$2:$E$23,"Ya")</f>
        <v/>
      </c>
      <c r="D13" s="9">
        <f>AVERAGEIFS(Perbandingan!$J$2:$J$23,Perbandingan!$E$2:$E$23,"Ya")</f>
        <v/>
      </c>
    </row>
    <row r="14">
      <c r="A14" s="4" t="inlineStr">
        <is>
          <t>Waktu rata-rata / soal (dtk)</t>
        </is>
      </c>
      <c r="C14" s="8">
        <f>AVERAGEIFS(Perbandingan!$K$2:$K$23,Perbandingan!$E$2:$E$23,"Ya")</f>
        <v/>
      </c>
      <c r="D14" s="8">
        <f>AVERAGEIFS(Perbandingan!$L$2:$L$23,Perbandingan!$E$2:$E$23,"Ya")</f>
        <v/>
      </c>
    </row>
    <row r="15">
      <c r="A15" s="4" t="inlineStr">
        <is>
          <t>Total biaya ($)</t>
        </is>
      </c>
      <c r="C15" s="9">
        <f>SUMIFS(Perbandingan!$I$2:$I$23,Perbandingan!$E$2:$E$23,"Ya")</f>
        <v/>
      </c>
      <c r="D15" s="9">
        <f>SUMIFS(Perbandingan!$J$2:$J$23,Perbandingan!$E$2:$E$23,"Ya")</f>
        <v/>
      </c>
    </row>
    <row r="16">
      <c r="A16" s="10" t="inlineStr">
        <is>
          <t>Mode dipilih benar</t>
        </is>
      </c>
      <c r="D16" s="10">
        <f>COUNTIFS(Perbandingan!$O$2:$O$23,"Ya")&amp;"/"&amp;(COUNTIFS(Perbandingan!$O$2:$O$23,"Ya")+COUNTIFS(Perbandingan!$O$2:$O$23,"Tidak"))</f>
        <v/>
      </c>
    </row>
    <row r="18">
      <c r="A18" s="11" t="inlineStr">
        <is>
          <t>Catatan:</t>
        </is>
      </c>
    </row>
    <row r="19">
      <c r="A19" s="12" t="inlineStr">
        <is>
          <t>- Biaya dari hitungan internal dan lebih rendah dari tagihan asli: token percobaan ulang yang terpotong belum tercatat (bug, sudah diperbaiki).</t>
        </is>
      </c>
    </row>
    <row r="20">
      <c r="A20" s="12" t="inlineStr">
        <is>
          <t>- 22 soal, 1 kali jalan per soal; selisih 0.1-0.2 masih dalam batas noise.</t>
        </is>
      </c>
    </row>
    <row r="21">
      <c r="A21" s="12" t="inlineStr">
        <is>
          <t>- 5 soal terakhir multi-agent dijalankan belakangan (saldo API sempat habis); 2 soal debat di antaranya dijalankan ulang setelah perbaikan balasan kosong.</t>
        </is>
      </c>
    </row>
  </sheetData>
  <mergeCells count="5">
    <mergeCell ref="A21:E21"/>
    <mergeCell ref="A20:E20"/>
    <mergeCell ref="A2:E2"/>
    <mergeCell ref="A19:E19"/>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50" customWidth="1" min="3" max="3"/>
    <col width="50" customWidth="1" min="4" max="4"/>
    <col width="12" customWidth="1" min="5" max="5"/>
    <col width="10" customWidth="1" min="6" max="6"/>
    <col width="10" customWidth="1" min="7" max="7"/>
    <col width="9" customWidth="1" min="8" max="8"/>
    <col width="11" customWidth="1" min="9" max="9"/>
    <col width="11" customWidth="1" min="10" max="10"/>
    <col width="11" customWidth="1" min="11" max="11"/>
    <col width="11" customWidth="1" min="12" max="12"/>
    <col width="11" customWidth="1" min="13" max="13"/>
    <col width="11" customWidth="1" min="14" max="14"/>
    <col width="10" customWidth="1" min="15" max="15"/>
    <col width="50" customWidth="1" min="16" max="16"/>
    <col width="50" customWidth="1" min="17" max="17"/>
    <col width="45" customWidth="1" min="18" max="18"/>
  </cols>
  <sheetData>
    <row r="1" ht="32" customHeight="1">
      <c r="A1" s="13" t="inlineStr">
        <is>
          <t>ID</t>
        </is>
      </c>
      <c r="B1" s="13" t="inlineStr">
        <is>
          <t>Kelompok</t>
        </is>
      </c>
      <c r="C1" s="13" t="inlineStr">
        <is>
          <t>Pertanyaan</t>
        </is>
      </c>
      <c r="D1" s="13" t="inlineStr">
        <is>
          <t>Kriteria penilaian</t>
        </is>
      </c>
      <c r="E1" s="13" t="inlineStr">
        <is>
          <t>Dibandingkan</t>
        </is>
      </c>
      <c r="F1" s="13" t="inlineStr">
        <is>
          <t>Skor 1 agent</t>
        </is>
      </c>
      <c r="G1" s="13" t="inlineStr">
        <is>
          <t>Skor multi-agent</t>
        </is>
      </c>
      <c r="H1" s="13" t="inlineStr">
        <is>
          <t>Selisih</t>
        </is>
      </c>
      <c r="I1" s="13" t="inlineStr">
        <is>
          <t>Biaya 1 agent ($)</t>
        </is>
      </c>
      <c r="J1" s="13" t="inlineStr">
        <is>
          <t>Biaya multi-agent ($)</t>
        </is>
      </c>
      <c r="K1" s="13" t="inlineStr">
        <is>
          <t>Waktu 1 agent (dtk)</t>
        </is>
      </c>
      <c r="L1" s="13" t="inlineStr">
        <is>
          <t>Waktu multi-agent (dtk)</t>
        </is>
      </c>
      <c r="M1" s="13" t="inlineStr">
        <is>
          <t>Mode diharapkan</t>
        </is>
      </c>
      <c r="N1" s="13" t="inlineStr">
        <is>
          <t>Mode dipilih</t>
        </is>
      </c>
      <c r="O1" s="13" t="inlineStr">
        <is>
          <t>Mode benar?</t>
        </is>
      </c>
      <c r="P1" s="13" t="inlineStr">
        <is>
          <t>Alasan penilai (1 agent)</t>
        </is>
      </c>
      <c r="Q1" s="13" t="inlineStr">
        <is>
          <t>Alasan penilai (multi-agent)</t>
        </is>
      </c>
      <c r="R1" s="13" t="inlineStr">
        <is>
          <t>Catatan</t>
        </is>
      </c>
    </row>
    <row r="2">
      <c r="A2" s="14" t="inlineStr">
        <is>
          <t>db-artists</t>
        </is>
      </c>
      <c r="B2" s="14" t="inlineStr">
        <is>
          <t>Simple lookups</t>
        </is>
      </c>
      <c r="C2" s="15" t="inlineStr">
        <is>
          <t>Which artist has the most tracks in the chinook database, and how many?</t>
        </is>
      </c>
      <c r="D2" s="15" t="inlineStr">
        <is>
          <t>Harus memuat: Iron Maiden, 213</t>
        </is>
      </c>
      <c r="E2" s="14">
        <f>IF(AND(ISNUMBER(F2),ISNUMBER(G2)),"Ya","Tidak")</f>
        <v/>
      </c>
      <c r="F2" s="14" t="n">
        <v>3</v>
      </c>
      <c r="G2" s="14" t="n">
        <v>3</v>
      </c>
      <c r="H2" s="16">
        <f>IF(E2="Ya",G2-F2,"")</f>
        <v/>
      </c>
      <c r="I2" s="17" t="n">
        <v>0.00079</v>
      </c>
      <c r="J2" s="17" t="n">
        <v>0.00734</v>
      </c>
      <c r="K2" s="14" t="n">
        <v>13.1</v>
      </c>
      <c r="L2" s="14" t="n">
        <v>96.90000000000001</v>
      </c>
      <c r="M2" s="14" t="inlineStr">
        <is>
          <t>facts</t>
        </is>
      </c>
      <c r="N2" s="14" t="inlineStr">
        <is>
          <t>facts</t>
        </is>
      </c>
      <c r="O2" s="14">
        <f>IF(OR(N2="",M2="bebas"),"",IF(M2=N2,"Ya","Tidak"))</f>
        <v/>
      </c>
      <c r="P2" s="15" t="inlineStr">
        <is>
          <t>all expected values present</t>
        </is>
      </c>
      <c r="Q2" s="15" t="inlineStr">
        <is>
          <t>all expected values present</t>
        </is>
      </c>
      <c r="R2" s="15" t="n"/>
    </row>
    <row r="3">
      <c r="A3" s="14" t="inlineStr">
        <is>
          <t>db-revenue</t>
        </is>
      </c>
      <c r="B3" s="14" t="inlineStr">
        <is>
          <t>Simple lookups</t>
        </is>
      </c>
      <c r="C3" s="15" t="inlineStr">
        <is>
          <t>What are the top 3 countries by total invoice revenue in the chinook database?</t>
        </is>
      </c>
      <c r="D3" s="15" t="inlineStr">
        <is>
          <t>Harus memuat: USA|United States, Canada, France</t>
        </is>
      </c>
      <c r="E3" s="14">
        <f>IF(AND(ISNUMBER(F3),ISNUMBER(G3)),"Ya","Tidak")</f>
        <v/>
      </c>
      <c r="F3" s="14" t="n">
        <v>3</v>
      </c>
      <c r="G3" s="14" t="n">
        <v>3</v>
      </c>
      <c r="H3" s="16">
        <f>IF(E3="Ya",G3-F3,"")</f>
        <v/>
      </c>
      <c r="I3" s="17" t="n">
        <v>0.00075</v>
      </c>
      <c r="J3" s="17" t="n">
        <v>0.00273</v>
      </c>
      <c r="K3" s="14" t="n">
        <v>11.3</v>
      </c>
      <c r="L3" s="14" t="n">
        <v>29.5</v>
      </c>
      <c r="M3" s="14" t="inlineStr">
        <is>
          <t>facts</t>
        </is>
      </c>
      <c r="N3" s="14" t="inlineStr">
        <is>
          <t>facts</t>
        </is>
      </c>
      <c r="O3" s="14">
        <f>IF(OR(N3="",M3="bebas"),"",IF(M3=N3,"Ya","Tidak"))</f>
        <v/>
      </c>
      <c r="P3" s="15" t="inlineStr">
        <is>
          <t>all expected values present</t>
        </is>
      </c>
      <c r="Q3" s="15" t="inlineStr">
        <is>
          <t>all expected values present</t>
        </is>
      </c>
      <c r="R3" s="15" t="inlineStr">
        <is>
          <t>Awalnya 1/3 karena pengecek cuma menerima 'USA'; jawabannya 'United States' (benar). Dinilai ulang setelah pengecek diperbaiki.</t>
        </is>
      </c>
    </row>
    <row r="4">
      <c r="A4" s="14" t="inlineStr">
        <is>
          <t>db-employees</t>
        </is>
      </c>
      <c r="B4" s="14" t="inlineStr">
        <is>
          <t>Simple lookups</t>
        </is>
      </c>
      <c r="C4" s="15" t="inlineStr">
        <is>
          <t>How many employees are in the chinook database?</t>
        </is>
      </c>
      <c r="D4" s="15" t="inlineStr">
        <is>
          <t>Harus memuat: 8</t>
        </is>
      </c>
      <c r="E4" s="14">
        <f>IF(AND(ISNUMBER(F4),ISNUMBER(G4)),"Ya","Tidak")</f>
        <v/>
      </c>
      <c r="F4" s="14" t="n">
        <v>3</v>
      </c>
      <c r="G4" s="14" t="n">
        <v>3</v>
      </c>
      <c r="H4" s="16">
        <f>IF(E4="Ya",G4-F4,"")</f>
        <v/>
      </c>
      <c r="I4" s="17" t="n">
        <v>0.00061</v>
      </c>
      <c r="J4" s="17" t="n">
        <v>0.00161</v>
      </c>
      <c r="K4" s="14" t="n">
        <v>9</v>
      </c>
      <c r="L4" s="14" t="n">
        <v>19.7</v>
      </c>
      <c r="M4" s="14" t="inlineStr">
        <is>
          <t>facts</t>
        </is>
      </c>
      <c r="N4" s="14" t="inlineStr">
        <is>
          <t>facts</t>
        </is>
      </c>
      <c r="O4" s="14">
        <f>IF(OR(N4="",M4="bebas"),"",IF(M4=N4,"Ya","Tidak"))</f>
        <v/>
      </c>
      <c r="P4" s="15" t="inlineStr">
        <is>
          <t>all expected values present</t>
        </is>
      </c>
      <c r="Q4" s="15" t="inlineStr">
        <is>
          <t>all expected values present</t>
        </is>
      </c>
      <c r="R4" s="15" t="n"/>
    </row>
    <row r="5">
      <c r="A5" s="14" t="inlineStr">
        <is>
          <t>db-northwind</t>
        </is>
      </c>
      <c r="B5" s="14" t="inlineStr">
        <is>
          <t>Simple lookups</t>
        </is>
      </c>
      <c r="C5" s="15" t="inlineStr">
        <is>
          <t>How many products are in the northwind database?</t>
        </is>
      </c>
      <c r="D5" s="15" t="inlineStr">
        <is>
          <t>Harus memuat: 77</t>
        </is>
      </c>
      <c r="E5" s="14">
        <f>IF(AND(ISNUMBER(F5),ISNUMBER(G5)),"Ya","Tidak")</f>
        <v/>
      </c>
      <c r="F5" s="14" t="n">
        <v>3</v>
      </c>
      <c r="G5" s="14" t="n">
        <v>3</v>
      </c>
      <c r="H5" s="16">
        <f>IF(E5="Ya",G5-F5,"")</f>
        <v/>
      </c>
      <c r="I5" s="17" t="n">
        <v>0.00063</v>
      </c>
      <c r="J5" s="17" t="n">
        <v>0.00152</v>
      </c>
      <c r="K5" s="14" t="n">
        <v>9.300000000000001</v>
      </c>
      <c r="L5" s="14" t="n">
        <v>16.9</v>
      </c>
      <c r="M5" s="14" t="inlineStr">
        <is>
          <t>facts</t>
        </is>
      </c>
      <c r="N5" s="14" t="inlineStr">
        <is>
          <t>facts</t>
        </is>
      </c>
      <c r="O5" s="14">
        <f>IF(OR(N5="",M5="bebas"),"",IF(M5=N5,"Ya","Tidak"))</f>
        <v/>
      </c>
      <c r="P5" s="15" t="inlineStr">
        <is>
          <t>all expected values present</t>
        </is>
      </c>
      <c r="Q5" s="15" t="inlineStr">
        <is>
          <t>all expected values present</t>
        </is>
      </c>
      <c r="R5" s="15" t="n"/>
    </row>
    <row r="6">
      <c r="A6" s="14" t="inlineStr">
        <is>
          <t>web-ojk</t>
        </is>
      </c>
      <c r="B6" s="14" t="inlineStr">
        <is>
          <t>Simple lookups</t>
        </is>
      </c>
      <c r="C6" s="15" t="inlineStr">
        <is>
          <t>What did Indonesia's OJK say caused the rise in bad loans at digital lending platforms, and roughly what was the TWP90 level in 2026?</t>
        </is>
      </c>
      <c r="D6" s="15" t="inlineStr">
        <is>
          <t>Names borrower repayment capacity as the main driver, cites OJK, and gives a TWP90 figure around 4-5 percent.</t>
        </is>
      </c>
      <c r="E6" s="14">
        <f>IF(AND(ISNUMBER(F6),ISNUMBER(G6)),"Ya","Tidak")</f>
        <v/>
      </c>
      <c r="F6" s="14" t="n">
        <v>3</v>
      </c>
      <c r="G6" s="14" t="n">
        <v>3</v>
      </c>
      <c r="H6" s="16">
        <f>IF(E6="Ya",G6-F6,"")</f>
        <v/>
      </c>
      <c r="I6" s="17" t="n">
        <v>0.00328</v>
      </c>
      <c r="J6" s="17" t="n">
        <v>0.02926</v>
      </c>
      <c r="K6" s="14" t="n">
        <v>25</v>
      </c>
      <c r="L6" s="14" t="n">
        <v>451</v>
      </c>
      <c r="M6" s="14" t="inlineStr">
        <is>
          <t>facts</t>
        </is>
      </c>
      <c r="N6" s="14" t="inlineStr">
        <is>
          <t>facts</t>
        </is>
      </c>
      <c r="O6" s="14">
        <f>IF(OR(N6="",M6="bebas"),"",IF(M6=N6,"Ya","Tidak"))</f>
        <v/>
      </c>
      <c r="P6" s="15" t="inlineStr">
        <is>
          <t>The answer identifies borrower repayment capacity as the main driver with OJK citations and provides 2026 TWP90 figures around 4.4–4.7 percent, matching the requested 4–5 percent range.</t>
        </is>
      </c>
      <c r="Q6" s="15" t="inlineStr">
        <is>
          <t>The answer names reduced borrower repayment capacity as the main driver with OJK citations and gives a TWP90 level around 4.3-4.7% in 2026, matching the criterion.</t>
        </is>
      </c>
      <c r="R6" s="15" t="n"/>
    </row>
    <row r="7">
      <c r="A7" s="14" t="inlineStr">
        <is>
          <t>web-mcp</t>
        </is>
      </c>
      <c r="B7" s="14" t="inlineStr">
        <is>
          <t>Simple lookups</t>
        </is>
      </c>
      <c r="C7" s="15" t="inlineStr">
        <is>
          <t>What is the Model Context Protocol and how widely is it adopted?</t>
        </is>
      </c>
      <c r="D7" s="15" t="inlineStr">
        <is>
          <t>Explains MCP as a standard for connecting AI models to tools and data, and gives an adoption figure such as thousands of public servers.</t>
        </is>
      </c>
      <c r="E7" s="14">
        <f>IF(AND(ISNUMBER(F7),ISNUMBER(G7)),"Ya","Tidak")</f>
        <v/>
      </c>
      <c r="F7" s="14" t="n">
        <v>3</v>
      </c>
      <c r="G7" s="14" t="n">
        <v>2</v>
      </c>
      <c r="H7" s="16">
        <f>IF(E7="Ya",G7-F7,"")</f>
        <v/>
      </c>
      <c r="I7" s="17" t="n">
        <v>0.00726</v>
      </c>
      <c r="J7" s="17" t="n">
        <v>0.05568</v>
      </c>
      <c r="K7" s="14" t="n">
        <v>45</v>
      </c>
      <c r="L7" s="14" t="n">
        <v>469.7</v>
      </c>
      <c r="M7" s="14" t="inlineStr">
        <is>
          <t>facts</t>
        </is>
      </c>
      <c r="N7" s="14" t="inlineStr">
        <is>
          <t>facts</t>
        </is>
      </c>
      <c r="O7" s="14">
        <f>IF(OR(N7="",M7="bebas"),"",IF(M7=N7,"Ya","Tidak"))</f>
        <v/>
      </c>
      <c r="P7" s="15" t="inlineStr">
        <is>
          <t>The answer clearly explains MCP as a standard for connecting AI models to tools and data and provides well-cited adoption figures including thousands of public servers, with appropriate nuance about usage quality.</t>
        </is>
      </c>
      <c r="Q7" s="15" t="inlineStr">
        <is>
          <t>The answer thoroughly explains MCP as a standard for connecting AI models to tools and data with citations, but it cuts off before providing the required adoption figure such as thousands of public servers.</t>
        </is>
      </c>
      <c r="R7" s="15" t="inlineStr">
        <is>
          <t>Bug: laporan terpotong di tengah kalimat. Sudah diperbaiki setelah eval.</t>
        </is>
      </c>
    </row>
    <row r="8">
      <c r="A8" s="14" t="inlineStr">
        <is>
          <t>web-deepseek</t>
        </is>
      </c>
      <c r="B8" s="14" t="inlineStr">
        <is>
          <t>Simple lookups</t>
        </is>
      </c>
      <c r="C8" s="15" t="inlineStr">
        <is>
          <t>How does DeepSeek V4 pricing compare to Anthropic's Claude models?</t>
        </is>
      </c>
      <c r="D8" s="15" t="inlineStr">
        <is>
          <t>Gives per-million-token prices for both and correctly concludes DeepSeek is roughly an order of magnitude cheaper.</t>
        </is>
      </c>
      <c r="E8" s="14">
        <f>IF(AND(ISNUMBER(F8),ISNUMBER(G8)),"Ya","Tidak")</f>
        <v/>
      </c>
      <c r="F8" s="14" t="n">
        <v>3</v>
      </c>
      <c r="G8" s="14" t="n">
        <v>3</v>
      </c>
      <c r="H8" s="16">
        <f>IF(E8="Ya",G8-F8,"")</f>
        <v/>
      </c>
      <c r="I8" s="17" t="n">
        <v>0.02816</v>
      </c>
      <c r="J8" s="17" t="n">
        <v>0.05863</v>
      </c>
      <c r="K8" s="14" t="n">
        <v>295.8</v>
      </c>
      <c r="L8" s="14" t="n">
        <v>769.1</v>
      </c>
      <c r="M8" s="14" t="inlineStr">
        <is>
          <t>facts</t>
        </is>
      </c>
      <c r="N8" s="14" t="inlineStr">
        <is>
          <t>facts</t>
        </is>
      </c>
      <c r="O8" s="14">
        <f>IF(OR(N8="",M8="bebas"),"",IF(M8=N8,"Ya","Tidak"))</f>
        <v/>
      </c>
      <c r="P8" s="15" t="inlineStr">
        <is>
          <t>Provides cited per-million-token prices for both DeepSeek V4 and Claude models and correctly concludes DeepSeek is roughly an order of magnitude cheaper for comparable mid/top tiers, with the low-end caveat supported.</t>
        </is>
      </c>
      <c r="Q8" s="15" t="inlineStr">
        <is>
          <t>The answer provides cited per-million-token prices for both DeepSeek V4 and Anthropic Claude models and correctly concludes DeepSeek is generally much cheaper, often by roughly an order of magnitude, while noting caveats.</t>
        </is>
      </c>
      <c r="R8" s="15" t="n"/>
    </row>
    <row r="9">
      <c r="A9" s="14" t="inlineStr">
        <is>
          <t>mixed-genre</t>
        </is>
      </c>
      <c r="B9" s="14" t="inlineStr">
        <is>
          <t>Simple lookups</t>
        </is>
      </c>
      <c r="C9" s="15" t="inlineStr">
        <is>
          <t>Which music genre has the most tracks in the chinook database, and what is that genre's real-world popularity today?</t>
        </is>
      </c>
      <c r="D9" s="15" t="inlineStr">
        <is>
          <t>Reports Rock as the top genre with a track count from the database, then adds web-sourced context on the genre's current popularity.</t>
        </is>
      </c>
      <c r="E9" s="14">
        <f>IF(AND(ISNUMBER(F9),ISNUMBER(G9)),"Ya","Tidak")</f>
        <v/>
      </c>
      <c r="F9" s="14" t="n">
        <v>3</v>
      </c>
      <c r="G9" s="14" t="n">
        <v>3</v>
      </c>
      <c r="H9" s="16">
        <f>IF(E9="Ya",G9-F9,"")</f>
        <v/>
      </c>
      <c r="I9" s="17" t="n">
        <v>0.00405</v>
      </c>
      <c r="J9" s="17" t="n">
        <v>0.04207</v>
      </c>
      <c r="K9" s="14" t="n">
        <v>40</v>
      </c>
      <c r="L9" s="14" t="n">
        <v>562.2</v>
      </c>
      <c r="M9" s="14" t="inlineStr">
        <is>
          <t>facts</t>
        </is>
      </c>
      <c r="N9" s="14" t="inlineStr">
        <is>
          <t>facts</t>
        </is>
      </c>
      <c r="O9" s="14">
        <f>IF(OR(N9="",M9="bebas"),"",IF(M9=N9,"Ya","Tidak"))</f>
        <v/>
      </c>
      <c r="P9" s="15" t="inlineStr">
        <is>
          <t>The answer correctly identifies Rock as the Chinook top genre with 1,297 tracks and adds cited, current real-world popularity context showing rock as a strong second genre rather than the top genre.</t>
        </is>
      </c>
      <c r="Q9" s="15" t="inlineStr">
        <is>
          <t>The answer correctly identifies Rock as the top genre with 1,297 tracks and provides well-cited, web-sourced context on rock's current popularity across streaming, sales, and charts.</t>
        </is>
      </c>
      <c r="R9" s="15" t="n"/>
    </row>
    <row r="10">
      <c r="A10" s="14" t="inlineStr">
        <is>
          <t>unanswerable</t>
        </is>
      </c>
      <c r="B10" s="14" t="inlineStr">
        <is>
          <t>Simple lookups</t>
        </is>
      </c>
      <c r="C10" s="15" t="inlineStr">
        <is>
          <t>What was the exact revenue of the chinook music store in the third quarter of 2027?</t>
        </is>
      </c>
      <c r="D10" s="15" t="inlineStr">
        <is>
          <t>States that the data does not exist or the date is in the future, rather than inventing a figure.</t>
        </is>
      </c>
      <c r="E10" s="14">
        <f>IF(AND(ISNUMBER(F10),ISNUMBER(G10)),"Ya","Tidak")</f>
        <v/>
      </c>
      <c r="F10" s="14" t="n">
        <v>3</v>
      </c>
      <c r="G10" s="14" t="n">
        <v>2</v>
      </c>
      <c r="H10" s="16">
        <f>IF(E10="Ya",G10-F10,"")</f>
        <v/>
      </c>
      <c r="I10" s="17" t="n">
        <v>0.0014</v>
      </c>
      <c r="J10" s="17" t="n">
        <v>0.00784</v>
      </c>
      <c r="K10" s="14" t="n">
        <v>17.8</v>
      </c>
      <c r="L10" s="14" t="n">
        <v>111.3</v>
      </c>
      <c r="M10" s="14" t="inlineStr">
        <is>
          <t>facts</t>
        </is>
      </c>
      <c r="N10" s="14" t="inlineStr">
        <is>
          <t>facts</t>
        </is>
      </c>
      <c r="O10" s="14">
        <f>IF(OR(N10="",M10="bebas"),"",IF(M10=N10,"Ya","Tidak"))</f>
        <v/>
      </c>
      <c r="P10" s="15" t="inlineStr">
        <is>
          <t>The answer correctly states that no Q3 2027 data exists because the invoice table's latest date is 2025-12-22, and it cites the internal database rather than inventing a revenue figure.</t>
        </is>
      </c>
      <c r="Q10" s="15" t="inlineStr">
        <is>
          <t>The answer correctly notes the absence of invoice data for Q3 2027 but incorrectly asserts an exact revenue of $0.00 rather than simply stating the data does not exist or is unavailable.</t>
        </is>
      </c>
      <c r="R10" s="15" t="n"/>
    </row>
    <row r="11">
      <c r="A11" s="14" t="inlineStr">
        <is>
          <t>contradiction</t>
        </is>
      </c>
      <c r="B11" s="14" t="inlineStr">
        <is>
          <t>Simple lookups</t>
        </is>
      </c>
      <c r="C11" s="15" t="inlineStr">
        <is>
          <t>Is Groq's built-in web search a good choice for a deep research agent that needs citations?</t>
        </is>
      </c>
      <c r="D11" s="15" t="inlineStr">
        <is>
          <t>Notes that Groq's built-in search returns answers without exposing source URLs, which makes citation hard, and weighs that against its convenience.</t>
        </is>
      </c>
      <c r="E11" s="14">
        <f>IF(AND(ISNUMBER(F11),ISNUMBER(G11)),"Ya","Tidak")</f>
        <v/>
      </c>
      <c r="F11" s="14" t="n">
        <v>2</v>
      </c>
      <c r="G11" s="14" t="n">
        <v>2</v>
      </c>
      <c r="H11" s="16">
        <f>IF(E11="Ya",G11-F11,"")</f>
        <v/>
      </c>
      <c r="I11" s="17" t="n">
        <v>0.01006</v>
      </c>
      <c r="J11" s="17" t="n">
        <v>0.02344</v>
      </c>
      <c r="K11" s="14" t="n">
        <v>68.2</v>
      </c>
      <c r="L11" s="14" t="n">
        <v>254.1</v>
      </c>
      <c r="M11" s="14" t="inlineStr">
        <is>
          <t>bebas</t>
        </is>
      </c>
      <c r="N11" s="14" t="inlineStr">
        <is>
          <t>debate</t>
        </is>
      </c>
      <c r="O11" s="14">
        <f>IF(OR(N11="",M11="bebas"),"",IF(M11=N11,"Ya","Tidak"))</f>
        <v/>
      </c>
      <c r="P11" s="15" t="inlineStr">
        <is>
          <t>The answer gives a well-cited, substantive 'no' based on decommissioning and single-pass limitations, but it misses the criterion's specific concern by claiming source URLs are exposed rather than noting that built-in search makes citations hard by not exposing them, so it has a notable gap.</t>
        </is>
      </c>
      <c r="Q11" s="15" t="inlineStr">
        <is>
          <t>The answer concludes correctly with cited evidence that Groq's built-in search is too limited for citation-critical research, but it does not explicitly note that the tool returns answers without exposing source URLs, a key part of the criterion.</t>
        </is>
      </c>
      <c r="R11" s="15" t="n"/>
    </row>
    <row r="12">
      <c r="A12" s="14" t="inlineStr">
        <is>
          <t>hard-search-apis</t>
        </is>
      </c>
      <c r="B12" s="14" t="inlineStr">
        <is>
          <t>Multi-part</t>
        </is>
      </c>
      <c r="C12" s="15" t="inlineStr">
        <is>
          <t>Compare Exa, Tavily and Brave as the search backend for a research agent that must cite its sources. Cover per-request price, free tier, and how each one's result format affects citation, then recommend one.</t>
        </is>
      </c>
      <c r="D12" s="15" t="inlineStr">
        <is>
          <t>Covers all three providers on all three dimensions - price, free tier, result format - with figures, and ends with a reasoned recommendation. Missing a provider or leaving a dimension unaddressed for any provider is a gap.</t>
        </is>
      </c>
      <c r="E12" s="14">
        <f>IF(AND(ISNUMBER(F12),ISNUMBER(G12)),"Ya","Tidak")</f>
        <v/>
      </c>
      <c r="F12" s="14" t="n">
        <v>3</v>
      </c>
      <c r="G12" s="14" t="n">
        <v>3</v>
      </c>
      <c r="H12" s="16">
        <f>IF(E12="Ya",G12-F12,"")</f>
        <v/>
      </c>
      <c r="I12" s="17" t="n">
        <v>0.05046</v>
      </c>
      <c r="J12" s="17" t="n">
        <v>0.06401999999999999</v>
      </c>
      <c r="K12" s="14" t="n">
        <v>279.8</v>
      </c>
      <c r="L12" s="14" t="n">
        <v>749.1</v>
      </c>
      <c r="M12" s="14" t="inlineStr">
        <is>
          <t>facts</t>
        </is>
      </c>
      <c r="N12" s="14" t="inlineStr">
        <is>
          <t>facts</t>
        </is>
      </c>
      <c r="O12" s="14">
        <f>IF(OR(N12="",M12="bebas"),"",IF(M12=N12,"Ya","Tidak"))</f>
        <v/>
      </c>
      <c r="P12" s="15" t="inlineStr">
        <is>
          <t>The answer covers Exa, Tavily, and Brave across price, free tier, and result format with cited figures and ends with a reasoned recommendation.</t>
        </is>
      </c>
      <c r="Q12" s="15" t="inlineStr">
        <is>
          <t>The answer covers Exa, Tavily, and Brave across per-request price, free tier, and citation-relevant result format with specific figures and citations, then gives a clear, reasoned recommendation.</t>
        </is>
      </c>
      <c r="R12" s="15" t="n"/>
    </row>
    <row r="13">
      <c r="A13" s="14" t="inlineStr">
        <is>
          <t>hard-model-landscape</t>
        </is>
      </c>
      <c r="B13" s="14" t="inlineStr">
        <is>
          <t>Multi-part</t>
        </is>
      </c>
      <c r="C13" s="15" t="inlineStr">
        <is>
          <t>For an agent that plans, calls tools repeatedly, and writes long reports, compare DeepSeek V4, Claude, and one open-weight alternative on price, tool-calling reliability, and context window. Say which you would pick for the planning role and why.</t>
        </is>
      </c>
      <c r="D13" s="15" t="inlineStr">
        <is>
          <t>Names three distinct model families and addresses all three dimensions for each, with concrete figures where they exist. Distinguishes tool-calling reliability from general coding benchmarks. Ends with a pick and a reason tied to the planning role.</t>
        </is>
      </c>
      <c r="E13" s="14">
        <f>IF(AND(ISNUMBER(F13),ISNUMBER(G13)),"Ya","Tidak")</f>
        <v/>
      </c>
      <c r="F13" s="14" t="n">
        <v>3</v>
      </c>
      <c r="G13" s="14" t="n">
        <v>2</v>
      </c>
      <c r="H13" s="16">
        <f>IF(E13="Ya",G13-F13,"")</f>
        <v/>
      </c>
      <c r="I13" s="17" t="n">
        <v>0.06293</v>
      </c>
      <c r="J13" s="17" t="n">
        <v>0.06022</v>
      </c>
      <c r="K13" s="14" t="n">
        <v>298.8</v>
      </c>
      <c r="L13" s="14" t="n">
        <v>804.1</v>
      </c>
      <c r="M13" s="14" t="inlineStr">
        <is>
          <t>facts</t>
        </is>
      </c>
      <c r="N13" s="14" t="inlineStr">
        <is>
          <t>facts</t>
        </is>
      </c>
      <c r="O13" s="14">
        <f>IF(OR(N13="",M13="bebas"),"",IF(M13=N13,"Ya","Tidak"))</f>
        <v/>
      </c>
      <c r="P13" s="15" t="inlineStr">
        <is>
          <t>The answer names three distinct model families, provides concrete cited figures for price, context window, and tool-calling reliability for each, explicitly distinguishes tool-calling benchmarks from general coding, and ends with a planning-role pick backed by those tradeoffs.</t>
        </is>
      </c>
      <c r="Q13" s="15" t="inlineStr">
        <is>
          <t>The answer gives a strong, cited comparison for DeepSeek V4 and Qwen across price, tool-calling reliability, and context, but it does not actually address Claude on those dimensions beyond stating no evidence was found, so it falls short of the three-way comparison required.</t>
        </is>
      </c>
      <c r="R13" s="15" t="n"/>
    </row>
    <row r="14">
      <c r="A14" s="14" t="inlineStr">
        <is>
          <t>hard-chinook-market</t>
        </is>
      </c>
      <c r="B14" s="14" t="inlineStr">
        <is>
          <t>Multi-part</t>
        </is>
      </c>
      <c r="C14" s="15" t="inlineStr">
        <is>
          <t>Find the top 3 countries by invoice revenue in the chinook database, then describe what the recorded-music market looks like in each of those countries today, and note where the database's ranking diverges from the real market.</t>
        </is>
      </c>
      <c r="D14" s="15" t="inlineStr">
        <is>
          <t>Gets the top 3 countries from the database with figures, gives current market context for each of the three separately, and explicitly compares the database ranking against real-world market size. Covering only one or two countries is a gap.</t>
        </is>
      </c>
      <c r="E14" s="14">
        <f>IF(AND(ISNUMBER(F14),ISNUMBER(G14)),"Ya","Tidak")</f>
        <v/>
      </c>
      <c r="F14" s="14" t="n">
        <v>3</v>
      </c>
      <c r="G14" s="14" t="n">
        <v>3</v>
      </c>
      <c r="H14" s="16">
        <f>IF(E14="Ya",G14-F14,"")</f>
        <v/>
      </c>
      <c r="I14" s="17" t="n">
        <v>0.02643</v>
      </c>
      <c r="J14" s="17" t="n">
        <v>0.12179</v>
      </c>
      <c r="K14" s="14" t="n">
        <v>107.5</v>
      </c>
      <c r="L14" s="14" t="n">
        <v>846.5</v>
      </c>
      <c r="M14" s="14" t="inlineStr">
        <is>
          <t>facts</t>
        </is>
      </c>
      <c r="N14" s="14" t="inlineStr">
        <is>
          <t>facts</t>
        </is>
      </c>
      <c r="O14" s="14">
        <f>IF(OR(N14="",M14="bebas"),"",IF(M14=N14,"Ya","Tidak"))</f>
        <v/>
      </c>
      <c r="P14" s="15" t="inlineStr">
        <is>
          <t>The answer accurately reports the Chinook top-3 with figures, gives cited current market context for the US, Canada, and France separately, and explicitly compares the database ranking to real-world rankings.</t>
        </is>
      </c>
      <c r="Q14" s="15" t="inlineStr">
        <is>
          <t>The answer provides the Chinook top 3 with revenue figures, gives current cited market context for the US, Canada, and France separately, and explicitly compares the database ranking with the real-world IFPI top markets.</t>
        </is>
      </c>
      <c r="R14" s="15" t="n"/>
    </row>
    <row r="15">
      <c r="A15" s="14" t="inlineStr">
        <is>
          <t>hard-mcp-timeline</t>
        </is>
      </c>
      <c r="B15" s="14" t="inlineStr">
        <is>
          <t>Multi-part</t>
        </is>
      </c>
      <c r="C15" s="15" t="inlineStr">
        <is>
          <t>Trace how the Model Context Protocol went from launch to its 2026 state: what drove adoption, how large the ecosystem got, and what the 2026-07-28 specification changed for people building agents.</t>
        </is>
      </c>
      <c r="D15" s="15" t="inlineStr">
        <is>
          <t>Covers three stages - launch and early adoption, ecosystem scale with a figure, and the specific 2026-07-28 spec changes - and connects them into a causal account rather than three disconnected facts.</t>
        </is>
      </c>
      <c r="E15" s="14">
        <f>IF(AND(ISNUMBER(F15),ISNUMBER(G15)),"Ya","Tidak")</f>
        <v/>
      </c>
      <c r="F15" s="14" t="n">
        <v>3</v>
      </c>
      <c r="G15" s="14" t="n">
        <v>3</v>
      </c>
      <c r="H15" s="16">
        <f>IF(E15="Ya",G15-F15,"")</f>
        <v/>
      </c>
      <c r="I15" s="17" t="n">
        <v>0.03892</v>
      </c>
      <c r="J15" s="17" t="n">
        <v>0.13107</v>
      </c>
      <c r="K15" s="14" t="n">
        <v>311.8</v>
      </c>
      <c r="L15" s="14" t="n">
        <v>825.7</v>
      </c>
      <c r="M15" s="14" t="inlineStr">
        <is>
          <t>facts</t>
        </is>
      </c>
      <c r="N15" s="14" t="inlineStr">
        <is>
          <t>facts</t>
        </is>
      </c>
      <c r="O15" s="14">
        <f>IF(OR(N15="",M15="bebas"),"",IF(M15=N15,"Ya","Tidak"))</f>
        <v/>
      </c>
      <c r="P15" s="15" t="inlineStr">
        <is>
          <t>The answer covers launch and early adoption drivers, provides concrete ecosystem figures with citations, details the 2026-07-28 spec changes, and links adoption drivers to ecosystem growth in a coherent account.</t>
        </is>
      </c>
      <c r="Q15" s="15" t="inlineStr">
        <is>
          <t>The answer thoroughly traces launch, early adoption drivers, quantified ecosystem growth, and the 2026-07-28 spec changes, weaving them into a causal account with extensive citations.</t>
        </is>
      </c>
      <c r="R15" s="15" t="n"/>
    </row>
    <row r="16">
      <c r="A16" s="14" t="inlineStr">
        <is>
          <t>hard-lending-compare</t>
        </is>
      </c>
      <c r="B16" s="14" t="inlineStr">
        <is>
          <t>Multi-part</t>
        </is>
      </c>
      <c r="C16" s="15" t="inlineStr">
        <is>
          <t>Compare the rise in fintech lending defaults in Indonesia with the situation in at least two other Asian markets. Cover the default figures, what regulators blamed, and what each regulator did about it.</t>
        </is>
      </c>
      <c r="D16" s="15" t="inlineStr">
        <is>
          <t>Covers Indonesia plus at least two other named Asian markets, and for each gives a default figure, a stated cause, and a regulatory response. Treating Indonesia in depth while mentioning others in passing is a gap.</t>
        </is>
      </c>
      <c r="E16" s="14">
        <f>IF(AND(ISNUMBER(F16),ISNUMBER(G16)),"Ya","Tidak")</f>
        <v/>
      </c>
      <c r="F16" s="14" t="n">
        <v>3</v>
      </c>
      <c r="G16" s="14" t="n">
        <v>3</v>
      </c>
      <c r="H16" s="16">
        <f>IF(E16="Ya",G16-F16,"")</f>
        <v/>
      </c>
      <c r="I16" s="17" t="n">
        <v>0.0629</v>
      </c>
      <c r="J16" s="17" t="n">
        <v>0.16177</v>
      </c>
      <c r="K16" s="14" t="n">
        <v>322.4</v>
      </c>
      <c r="L16" s="14" t="n">
        <v>1185.2</v>
      </c>
      <c r="M16" s="14" t="inlineStr">
        <is>
          <t>facts</t>
        </is>
      </c>
      <c r="N16" s="14" t="inlineStr">
        <is>
          <t>facts</t>
        </is>
      </c>
      <c r="O16" s="14">
        <f>IF(OR(N16="",M16="bebas"),"",IF(M16=N16,"Ya","Tidak"))</f>
        <v/>
      </c>
      <c r="P16" s="15" t="inlineStr">
        <is>
          <t>The answer covers Indonesia, India, and China in comparable depth, giving cited default or delinquency figures, regulator-attributed causes, and regulatory responses for each.</t>
        </is>
      </c>
      <c r="Q16" s="15" t="inlineStr">
        <is>
          <t>The answer thoroughly covers Indonesia, India, and the Philippines, giving cited default figures, stated causes, and regulatory responses for each, fully meeting the criterion.</t>
        </is>
      </c>
      <c r="R16" s="15" t="n"/>
    </row>
    <row r="17">
      <c r="A17" s="14" t="inlineStr">
        <is>
          <t>debate-ai-credit</t>
        </is>
      </c>
      <c r="B17" s="14" t="inlineStr">
        <is>
          <t>Judgement (debate)</t>
        </is>
      </c>
      <c r="C17" s="15" t="inlineStr">
        <is>
          <t>Should banks use AI models to approve or reject consumer loans?</t>
        </is>
      </c>
      <c r="D17" s="15" t="inlineStr">
        <is>
          <t>Gives substantive, sourced evidence on both sides - at least two real points for and two against - engages with the strongest counter-argument rather than ignoring it, and ends with a clear verdict that follows from weighing the evidence. One-sided coverage, a straw-man opposing side, or a verdict that just restates both sides is a gap. Expected points include speed and financial inclusion on one side, and bias, explainability and regulatory risk on the other.</t>
        </is>
      </c>
      <c r="E17" s="14">
        <f>IF(AND(ISNUMBER(F17),ISNUMBER(G17)),"Ya","Tidak")</f>
        <v/>
      </c>
      <c r="F17" s="14" t="n">
        <v>3</v>
      </c>
      <c r="G17" s="14" t="n">
        <v>3</v>
      </c>
      <c r="H17" s="16">
        <f>IF(E17="Ya",G17-F17,"")</f>
        <v/>
      </c>
      <c r="I17" s="17" t="n">
        <v>0.00397</v>
      </c>
      <c r="J17" s="17" t="n">
        <v>0.06121</v>
      </c>
      <c r="K17" s="14" t="n">
        <v>46.2</v>
      </c>
      <c r="L17" s="14" t="n">
        <v>450.8</v>
      </c>
      <c r="M17" s="14" t="inlineStr">
        <is>
          <t>debate</t>
        </is>
      </c>
      <c r="N17" s="14" t="inlineStr">
        <is>
          <t>debate</t>
        </is>
      </c>
      <c r="O17" s="14">
        <f>IF(OR(N17="",M17="bebas"),"",IF(M17=N17,"Ya","Tidak"))</f>
        <v/>
      </c>
      <c r="P17" s="15" t="inlineStr">
        <is>
          <t>Provides multiple cited benefits and risks, directly engages the fairness/bias counterargument, and reaches a clear conditional verdict supported by the evidence.</t>
        </is>
      </c>
      <c r="Q17" s="15" t="inlineStr">
        <is>
          <t>The answer provides multiple sourced points on both sides, engages the strongest fairness counter-argument directly, and reaches a clear conditional verdict from the evidence.</t>
        </is>
      </c>
      <c r="R17" s="15" t="n"/>
    </row>
    <row r="18">
      <c r="A18" s="14" t="inlineStr">
        <is>
          <t>debate-paylater</t>
        </is>
      </c>
      <c r="B18" s="14" t="inlineStr">
        <is>
          <t>Judgement (debate)</t>
        </is>
      </c>
      <c r="C18" s="15" t="inlineStr">
        <is>
          <t>Should Indonesia restrict buy-now-pay-later (paylater) services for young borrowers?</t>
        </is>
      </c>
      <c r="D18" s="15" t="inlineStr">
        <is>
          <t>Gives substantive, sourced evidence on both sides - at least two real points for and two against - engages with the strongest counter-argument rather than ignoring it, and ends with a clear verdict that follows from weighing the evidence. One-sided coverage, a straw-man opposing side, or a verdict that just restates both sides is a gap. Expected points include consumer debt and default figures on one side, and credit access and existing OJK rules on the other.</t>
        </is>
      </c>
      <c r="E18" s="14">
        <f>IF(AND(ISNUMBER(F18),ISNUMBER(G18)),"Ya","Tidak")</f>
        <v/>
      </c>
      <c r="F18" s="14" t="n">
        <v>2</v>
      </c>
      <c r="G18" s="14" t="n">
        <v>3</v>
      </c>
      <c r="H18" s="16">
        <f>IF(E18="Ya",G18-F18,"")</f>
        <v/>
      </c>
      <c r="I18" s="17" t="n">
        <v>0.06243</v>
      </c>
      <c r="J18" s="17" t="n">
        <v>0.05139</v>
      </c>
      <c r="K18" s="14" t="n">
        <v>172.2</v>
      </c>
      <c r="L18" s="14" t="n">
        <v>554.5</v>
      </c>
      <c r="M18" s="14" t="inlineStr">
        <is>
          <t>debate</t>
        </is>
      </c>
      <c r="N18" s="14" t="inlineStr">
        <is>
          <t>debate</t>
        </is>
      </c>
      <c r="O18" s="14">
        <f>IF(OR(N18="",M18="bebas"),"",IF(M18=N18,"Ya","Tidak"))</f>
        <v/>
      </c>
      <c r="P18" s="15" t="inlineStr">
        <is>
          <t>The answer provides strong, well-cited evidence for restricting paylater (debt/default figures, youth demographics, financial literacy, OJK rules) and at least one real counterpoint on credit access, but it lacks a second substantive sourced point against restriction and admits the downside case is unsupported rather than engaging the strongest counterargument.</t>
        </is>
      </c>
      <c r="Q18" s="15" t="inlineStr">
        <is>
          <t>It gives multiple cited arguments for and against, directly addresses counterarguments on NPF trends and age targeting, and reaches a clear evidence-based verdict.</t>
        </is>
      </c>
      <c r="R18" s="15" t="n"/>
    </row>
    <row r="19">
      <c r="A19" s="14" t="inlineStr">
        <is>
          <t>debate-junior-devs</t>
        </is>
      </c>
      <c r="B19" s="14" t="inlineStr">
        <is>
          <t>Judgement (debate)</t>
        </is>
      </c>
      <c r="C19" s="15" t="inlineStr">
        <is>
          <t>Is it a good idea for companies to replace junior software developers with AI coding agents?</t>
        </is>
      </c>
      <c r="D19" s="15" t="inlineStr">
        <is>
          <t>Gives substantive, sourced evidence on both sides - at least two real points for and two against - engages with the strongest counter-argument rather than ignoring it, and ends with a clear verdict that follows from weighing the evidence. One-sided coverage, a straw-man opposing side, or a verdict that just restates both sides is a gap. Expected points include productivity evidence on one side, and code quality, review burden and the talent pipeline on the other.</t>
        </is>
      </c>
      <c r="E19" s="14">
        <f>IF(AND(ISNUMBER(F19),ISNUMBER(G19)),"Ya","Tidak")</f>
        <v/>
      </c>
      <c r="F19" s="14" t="n">
        <v>3</v>
      </c>
      <c r="G19" s="14" t="n">
        <v>3</v>
      </c>
      <c r="H19" s="16">
        <f>IF(E19="Ya",G19-F19,"")</f>
        <v/>
      </c>
      <c r="I19" s="17" t="n">
        <v>0.00809</v>
      </c>
      <c r="J19" s="17" t="n">
        <v>0.10603</v>
      </c>
      <c r="K19" s="14" t="n">
        <v>66.2</v>
      </c>
      <c r="L19" s="14" t="n">
        <v>582.7</v>
      </c>
      <c r="M19" s="14" t="inlineStr">
        <is>
          <t>debate</t>
        </is>
      </c>
      <c r="N19" s="14" t="inlineStr">
        <is>
          <t>debate</t>
        </is>
      </c>
      <c r="O19" s="14">
        <f>IF(OR(N19="",M19="bebas"),"",IF(M19=N19,"Ya","Tidak"))</f>
        <v/>
      </c>
      <c r="P19" s="15" t="inlineStr">
        <is>
          <t>The answer provides cited evidence on both sides, addresses the strongest counterarguments about process redesign and continued junior hiring, and ends with a clear, evidence-weighed verdict against blanket replacement.</t>
        </is>
      </c>
      <c r="Q19" s="15" t="inlineStr">
        <is>
          <t>The answer provides multiple sourced points on both sides, directly rebuts the strongest pro-replacement arguments, and reaches a clear, evidence-weighted verdict against generally replacing junior developers.</t>
        </is>
      </c>
      <c r="R19" s="15" t="inlineStr">
        <is>
          <t>Jalan pertama skor 0: API mengembalikan jawaban kosong. Dijalankan ulang setelah perbaikan (balasan kosong dicoba ulang).</t>
        </is>
      </c>
    </row>
    <row r="20">
      <c r="A20" s="14" t="inlineStr">
        <is>
          <t>debate-multi-agent</t>
        </is>
      </c>
      <c r="B20" s="14" t="inlineStr">
        <is>
          <t>Judgement (debate)</t>
        </is>
      </c>
      <c r="C20" s="15" t="inlineStr">
        <is>
          <t>Is a multi-agent architecture worth it over a single agent for LLM research tasks?</t>
        </is>
      </c>
      <c r="D20" s="15" t="inlineStr">
        <is>
          <t>Gives substantive, sourced evidence on both sides - at least two real points for and two against - engages with the strongest counter-argument rather than ignoring it, and ends with a clear verdict that follows from weighing the evidence. One-sided coverage, a straw-man opposing side, or a verdict that just restates both sides is a gap. Expected points include breadth, parallelism and context isolation on one side, and token cost, coordination failures and lost shared context on the other.</t>
        </is>
      </c>
      <c r="E20" s="14">
        <f>IF(AND(ISNUMBER(F20),ISNUMBER(G20)),"Ya","Tidak")</f>
        <v/>
      </c>
      <c r="F20" s="14" t="n">
        <v>3</v>
      </c>
      <c r="G20" s="14" t="n">
        <v>2</v>
      </c>
      <c r="H20" s="16">
        <f>IF(E20="Ya",G20-F20,"")</f>
        <v/>
      </c>
      <c r="I20" s="17" t="n">
        <v>0.00351</v>
      </c>
      <c r="J20" s="17" t="n">
        <v>0.04118</v>
      </c>
      <c r="K20" s="14" t="n">
        <v>37</v>
      </c>
      <c r="L20" s="14" t="n">
        <v>300.1</v>
      </c>
      <c r="M20" s="14" t="inlineStr">
        <is>
          <t>debate</t>
        </is>
      </c>
      <c r="N20" s="14" t="inlineStr">
        <is>
          <t>debate</t>
        </is>
      </c>
      <c r="O20" s="14">
        <f>IF(OR(N20="",M20="bebas"),"",IF(M20=N20,"Ya","Tidak"))</f>
        <v/>
      </c>
      <c r="P20" s="15" t="inlineStr">
        <is>
          <t>The answer supplies multiple cited points for and against multi-agent systems, addresses the pro-MAS counterargument directly, and ends with a clear conditional verdict.</t>
        </is>
      </c>
      <c r="Q20" s="15" t="inlineStr">
        <is>
          <t>The answer is well-sourced and clear on the case against multi-agent architectures, but it only provides one substantive affirmative point rather than the required two, leaving the for side underdeveloped despite engaging the strongest counter-argument.</t>
        </is>
      </c>
      <c r="R20" s="15" t="n"/>
    </row>
    <row r="21">
      <c r="A21" s="14" t="inlineStr">
        <is>
          <t>debate-nuclear-id</t>
        </is>
      </c>
      <c r="B21" s="14" t="inlineStr">
        <is>
          <t>Judgement (debate)</t>
        </is>
      </c>
      <c r="C21" s="15" t="inlineStr">
        <is>
          <t>Should Indonesia build nuclear power plants as part of its energy transition?</t>
        </is>
      </c>
      <c r="D21" s="15" t="inlineStr">
        <is>
          <t>Gives substantive, sourced evidence on both sides - at least two real points for and two against - engages with the strongest counter-argument rather than ignoring it, and ends with a clear verdict that follows from weighing the evidence. One-sided coverage, a straw-man opposing side, or a verdict that just restates both sides is a gap. Expected points include baseload low-carbon power and energy demand on one side, and cost, seismic risk, waste and public acceptance on the other.</t>
        </is>
      </c>
      <c r="E21" s="14">
        <f>IF(AND(ISNUMBER(F21),ISNUMBER(G21)),"Ya","Tidak")</f>
        <v/>
      </c>
      <c r="F21" s="14" t="n">
        <v>3</v>
      </c>
      <c r="G21" s="14" t="n">
        <v>3</v>
      </c>
      <c r="H21" s="16">
        <f>IF(E21="Ya",G21-F21,"")</f>
        <v/>
      </c>
      <c r="I21" s="17" t="n">
        <v>0.01708</v>
      </c>
      <c r="J21" s="17" t="n">
        <v>0.09508</v>
      </c>
      <c r="K21" s="14" t="n">
        <v>96.7</v>
      </c>
      <c r="L21" s="14" t="n">
        <v>507.3</v>
      </c>
      <c r="M21" s="14" t="inlineStr">
        <is>
          <t>debate</t>
        </is>
      </c>
      <c r="N21" s="14" t="inlineStr">
        <is>
          <t>debate</t>
        </is>
      </c>
      <c r="O21" s="14">
        <f>IF(OR(N21="",M21="bebas"),"",IF(M21=N21,"Ya","Tidak"))</f>
        <v/>
      </c>
      <c r="P21" s="15" t="inlineStr">
        <is>
          <t>The answer supplies multiple cited points on both sides (low-carbon baseload, system-cost savings, uranium/SMR potential versus seismic risk, public acceptance, institutional readiness, and SMR cost uncertainty), engages the safety-cost-governance objections by conditioning its verdict on strict safeguards and piloting, and ends with a clear, evidence-based conditional yes.</t>
        </is>
      </c>
      <c r="Q21" s="15" t="inlineStr">
        <is>
          <t>The answer provides well-sourced arguments on both sides, engages directly with the strongest counterarguments on planning, cost, reactor size, and safety, and reaches a clear conditional verdict based on the evidence.</t>
        </is>
      </c>
      <c r="R21" s="15" t="inlineStr">
        <is>
          <t>Jalan pertama skor 0: API mengembalikan jawaban kosong. Dijalankan ulang setelah perbaikan (balasan kosong dicoba ulang).</t>
        </is>
      </c>
    </row>
    <row r="22">
      <c r="A22" s="14" t="inlineStr">
        <is>
          <t>sources-deepfake</t>
        </is>
      </c>
      <c r="B22" s="14" t="inlineStr">
        <is>
          <t>News + papers</t>
        </is>
      </c>
      <c r="C22" s="15" t="inlineStr">
        <is>
          <t>What does recent research say about how well deepfake detectors catch face-swap attacks in identity verification, and have banks or regulators reported real deepfake fraud cases?</t>
        </is>
      </c>
      <c r="D22" s="15" t="inlineStr">
        <is>
          <t>Cites at least one research study with a concrete finding on detection accuracy or generalisation, and at least one real reported case or regulator alert about deepfake fraud in banking or finance. Missing either the research side or the real-world side is a gap.</t>
        </is>
      </c>
      <c r="E22" s="14">
        <f>IF(AND(ISNUMBER(F22),ISNUMBER(G22)),"Ya","Tidak")</f>
        <v/>
      </c>
      <c r="F22" s="14" t="n">
        <v>3</v>
      </c>
      <c r="G22" s="14" t="n">
        <v>3</v>
      </c>
      <c r="H22" s="16">
        <f>IF(E22="Ya",G22-F22,"")</f>
        <v/>
      </c>
      <c r="I22" s="17" t="n">
        <v>0.02862</v>
      </c>
      <c r="J22" s="17" t="n">
        <v>0.1059</v>
      </c>
      <c r="K22" s="14" t="n">
        <v>176.5</v>
      </c>
      <c r="L22" s="14" t="n">
        <v>631.3</v>
      </c>
      <c r="M22" s="14" t="inlineStr">
        <is>
          <t>facts</t>
        </is>
      </c>
      <c r="N22" s="14" t="inlineStr">
        <is>
          <t>facts</t>
        </is>
      </c>
      <c r="O22" s="14">
        <f>IF(OR(N22="",M22="bebas"),"",IF(M22=N22,"Ya","Tidak"))</f>
        <v/>
      </c>
      <c r="P22" s="15" t="inlineStr">
        <is>
          <t>The answer cites specific research findings on detection accuracy and generalization, and separately cites FinCEN and multiple reported bank deepfake fraud cases, fully meeting both sides of the criterion.</t>
        </is>
      </c>
      <c r="Q22" s="15" t="inlineStr">
        <is>
          <t>The answer cites multiple research studies with concrete detection accuracy and generalisation findings and multiple real reported cases and regulator alerts involving deepfake fraud in banking/finance, satisfying both required elements.</t>
        </is>
      </c>
      <c r="R22" s="15" t="n"/>
    </row>
    <row r="23">
      <c r="A23" s="14" t="inlineStr">
        <is>
          <t>sources-lending</t>
        </is>
      </c>
      <c r="B23" s="14" t="inlineStr">
        <is>
          <t>News + papers</t>
        </is>
      </c>
      <c r="C23" s="15" t="inlineStr">
        <is>
          <t>What did the latest news say about OJK's fintech lending default rate (TWP90), and what does academic research identify as the main drivers of online lending defaults?</t>
        </is>
      </c>
      <c r="D23" s="15" t="inlineStr">
        <is>
          <t>Gives a recent TWP90 figure or news report attributed to OJK, and separately summarises drivers of online lending default identified by academic research. Missing either the news side or the research side is a gap.</t>
        </is>
      </c>
      <c r="E23" s="14">
        <f>IF(AND(ISNUMBER(F23),ISNUMBER(G23)),"Ya","Tidak")</f>
        <v/>
      </c>
      <c r="F23" s="14" t="n">
        <v>0</v>
      </c>
      <c r="G23" s="14" t="n">
        <v>2</v>
      </c>
      <c r="H23" s="16">
        <f>IF(E23="Ya",G23-F23,"")</f>
        <v/>
      </c>
      <c r="I23" s="17" t="n">
        <v>0.00666</v>
      </c>
      <c r="J23" s="17" t="n">
        <v>0.06587999999999999</v>
      </c>
      <c r="K23" s="14" t="n">
        <v>54.4</v>
      </c>
      <c r="L23" s="14" t="n">
        <v>1007.7</v>
      </c>
      <c r="M23" s="14" t="inlineStr">
        <is>
          <t>facts</t>
        </is>
      </c>
      <c r="N23" s="14" t="inlineStr">
        <is>
          <t>facts</t>
        </is>
      </c>
      <c r="O23" s="14">
        <f>IF(OR(N23="",M23="bebas"),"",IF(M23=N23,"Ya","Tidak"))</f>
        <v/>
      </c>
      <c r="P23" s="15" t="inlineStr">
        <is>
          <t>The answer cites future-dated August–October 2026 news and figures that cannot exist as of May 2026, so the TWP90 claim appears fabricated and the evidence is not credible.</t>
        </is>
      </c>
      <c r="Q23" s="15" t="inlineStr">
        <is>
          <t>The answer substantially covers both the recent OJK TWP90 figure and academic drivers of online lending defaults, but the factual claims and research findings are uncited.</t>
        </is>
      </c>
      <c r="R23" s="15" t="inlineStr">
        <is>
          <t>Skor 0 karena bug penilai: mengira berita Agustus-Oktober 2026 'dari masa depan'. Penilai sudah diperbaiki, soal ini belum dinilai ulang.</t>
        </is>
      </c>
    </row>
  </sheetData>
  <autoFilter ref="A1:R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40" customWidth="1" min="3" max="3"/>
    <col width="7" customWidth="1" min="4" max="4"/>
    <col width="45" customWidth="1" min="5" max="5"/>
    <col width="110" customWidth="1" min="6" max="6"/>
  </cols>
  <sheetData>
    <row r="1" ht="32" customHeight="1">
      <c r="A1" s="13" t="inlineStr">
        <is>
          <t>ID</t>
        </is>
      </c>
      <c r="B1" s="13" t="inlineStr">
        <is>
          <t>Kelompok</t>
        </is>
      </c>
      <c r="C1" s="13" t="inlineStr">
        <is>
          <t>Pertanyaan</t>
        </is>
      </c>
      <c r="D1" s="13" t="inlineStr">
        <is>
          <t>Skor</t>
        </is>
      </c>
      <c r="E1" s="13" t="inlineStr">
        <is>
          <t>Alasan penilai</t>
        </is>
      </c>
      <c r="F1" s="13" t="inlineStr">
        <is>
          <t>Jawaban lengkap</t>
        </is>
      </c>
    </row>
    <row r="2" ht="150" customHeight="1">
      <c r="A2" s="14" t="inlineStr">
        <is>
          <t>db-artists</t>
        </is>
      </c>
      <c r="B2" s="14" t="inlineStr">
        <is>
          <t>Simple lookups</t>
        </is>
      </c>
      <c r="C2" s="15" t="inlineStr">
        <is>
          <t>Which artist has the most tracks in the chinook database, and how many?</t>
        </is>
      </c>
      <c r="D2" s="15" t="n">
        <v>3</v>
      </c>
      <c r="E2" s="15" t="inlineStr">
        <is>
          <t>all expected values present</t>
        </is>
      </c>
      <c r="F2" s="15" t="inlineStr">
        <is>
          <t>Iron Maiden has the most tracks in the Chinook database, with 213 tracks [1].
Sources:
[1] internal database (chinook)</t>
        </is>
      </c>
    </row>
    <row r="3" ht="150" customHeight="1">
      <c r="A3" s="14" t="inlineStr">
        <is>
          <t>db-revenue</t>
        </is>
      </c>
      <c r="B3" s="14" t="inlineStr">
        <is>
          <t>Simple lookups</t>
        </is>
      </c>
      <c r="C3" s="15" t="inlineStr">
        <is>
          <t>What are the top 3 countries by total invoice revenue in the chinook database?</t>
        </is>
      </c>
      <c r="D3" s="15" t="n">
        <v>3</v>
      </c>
      <c r="E3" s="15" t="inlineStr">
        <is>
          <t>all expected values present</t>
        </is>
      </c>
      <c r="F3" s="15" t="inlineStr">
        <is>
          <t>The top three countries by total invoice revenue in the Chinook database are the USA with $523.06, Canada with $303.96, and France with $195.10 [1]. This is based on summing the Total column from the Invoice table grouped by BillingCountry.
Sources:
[1] internal database (chinook)</t>
        </is>
      </c>
    </row>
    <row r="4" ht="150" customHeight="1">
      <c r="A4" s="14" t="inlineStr">
        <is>
          <t>db-employees</t>
        </is>
      </c>
      <c r="B4" s="14" t="inlineStr">
        <is>
          <t>Simple lookups</t>
        </is>
      </c>
      <c r="C4" s="15" t="inlineStr">
        <is>
          <t>How many employees are in the chinook database?</t>
        </is>
      </c>
      <c r="D4" s="15" t="n">
        <v>3</v>
      </c>
      <c r="E4" s="15" t="inlineStr">
        <is>
          <t>all expected values present</t>
        </is>
      </c>
      <c r="F4" s="15" t="inlineStr">
        <is>
          <t>The chinook database contains 8 employees [1].
Sources:
[1] internal database (chinook)</t>
        </is>
      </c>
    </row>
    <row r="5" ht="150" customHeight="1">
      <c r="A5" s="14" t="inlineStr">
        <is>
          <t>db-northwind</t>
        </is>
      </c>
      <c r="B5" s="14" t="inlineStr">
        <is>
          <t>Simple lookups</t>
        </is>
      </c>
      <c r="C5" s="15" t="inlineStr">
        <is>
          <t>How many products are in the northwind database?</t>
        </is>
      </c>
      <c r="D5" s="15" t="n">
        <v>3</v>
      </c>
      <c r="E5" s="15" t="inlineStr">
        <is>
          <t>all expected values present</t>
        </is>
      </c>
      <c r="F5" s="15" t="inlineStr">
        <is>
          <t>The Northwind database contains **77 products** [1].
Sources:
[1] internal database (northwind)</t>
        </is>
      </c>
    </row>
    <row r="6" ht="150" customHeight="1">
      <c r="A6" s="14" t="inlineStr">
        <is>
          <t>web-ojk</t>
        </is>
      </c>
      <c r="B6" s="14" t="inlineStr">
        <is>
          <t>Simple lookups</t>
        </is>
      </c>
      <c r="C6" s="15" t="inlineStr">
        <is>
          <t>What did Indonesia's OJK say caused the rise in bad loans at digital lending platforms, and roughly what was the TWP90 level in 2026?</t>
        </is>
      </c>
      <c r="D6" s="15" t="n">
        <v>3</v>
      </c>
      <c r="E6" s="15" t="inlineStr">
        <is>
          <t>The answer identifies borrower repayment capacity as the main driver with OJK citations and provides 2026 TWP90 figures around 4.4–4.7 percent, matching the requested 4–5 percent range.</t>
        </is>
      </c>
      <c r="F6" s="15" t="inlineStr">
        <is>
          <t>Indonesia's OJK attributed the rise in bad loans at digital lending platforms mainly to a decline in borrowers' repayment capacity. Agusman, OJK's executive head of supervision for financing institutions, venture capital, microfinance and other financial services, said the increase in non-performing financing was influenced by "menurunnya kemampuan bayar sebagian borrower" — the declining ability of some borrowers to pay [1][3][5]. He also said the dominance of problem loans in the productive segment reflected business characteristics, especially MSMEs' reliance on cash flow and market conditions, rather than solely data limitations [1]. OJK pushed platforms to strengthen governance and risk management, including better e-KYC and credit scoring, so lending would be more selective and prudent [1][5].
On the TWP90 level in 2026, reported figures were roughly in the mid-4 percent range and rising: 4.38 percent in January 2026 [1][5], 4.62 percent in April 2026 [4], and 4.73 percent in August 2026 [3]. By comparison, January 2025 was reported at 2.59 percent [1][5]. So a rough 2026 range would be about 4.4–4.7 percent, with the precise figure varying by month. One article also cited 4.33 percent in November, up from 2.52 percent a year earlier [2], though its year label is less clear.
Sources:
[1] Pembiayaan Bermasalah Industri Pindar Melonjak, Begini Penjelasan Bos OJK! - https://mediaasuransinews.co.id/pembiayaan/pembiayaan-bermasalah-industri-pindar-melonjak-begini-penjelasan-bos-ojk/
[2] OJK threatens ‘corrective measures’ as P2P defaults rise - Tech - The Jakarta Post - https://www.thejakartapost.com/business/2026/01/13/ojk-threatens-corrective-measures-as-p2p-defaults-rise
[3] Kredit Macet Pinjol Naik 4,73%, OJK Soroti Kemampuan Bayar Borrower - https://finansial.bisnis.com/read/20261009/563/2011301/kredit-macet-pinjol-naik-473-ojk-soroti-kemampuan-bayar-borrower
[4] OJK flags capital gaps and high TWP90 in fintech lending sector - The Indonesian Post - https://indonesianpost.com/2026/06/08/ojk-special-supervision-fintech-lenders-capital-bad-loans-indonesia/
[5] Kata OJK soal Kredit Macet Industri Pinjol Naik 61% hingga Denda oleh KPPU - https://finansial.bisnis.com/read/20260408/563/1965206/kata-ojk-soal-kredit-macet-industri-pinjol-naik-61-hingga-denda-oleh-kppu</t>
        </is>
      </c>
    </row>
    <row r="7" ht="150" customHeight="1">
      <c r="A7" s="14" t="inlineStr">
        <is>
          <t>web-mcp</t>
        </is>
      </c>
      <c r="B7" s="14" t="inlineStr">
        <is>
          <t>Simple lookups</t>
        </is>
      </c>
      <c r="C7" s="15" t="inlineStr">
        <is>
          <t>What is the Model Context Protocol and how widely is it adopted?</t>
        </is>
      </c>
      <c r="D7" s="15" t="n">
        <v>3</v>
      </c>
      <c r="E7" s="15" t="inlineStr">
        <is>
          <t>The answer clearly explains MCP as a standard for connecting AI models to tools and data and provides well-cited adoption figures including thousands of public servers, with appropriate nuance about usage quality.</t>
        </is>
      </c>
      <c r="F7" s="15" t="inlineStr">
        <is>
          <t>The Model Context Protocol (MCP) is an open-source standard introduced by Anthropic in November 2024 for connecting AI applications and agents to external data sources, tools, and workflows. Official documentation describes it as a "USB-C port for AI applications": a shared interface that lets AI systems such as Claude or ChatGPT access files, databases, APIs, search tools, and other systems without building a custom integration for each one [1][2][5]. Architecturally, it is a client-server protocol: an MCP host, such as Claude Desktop or Visual Studio Code, creates MCP clients that connect to MCP servers; servers expose tools, resources, and prompts over JSON-RPC 2.0, using local stdio transport or remote Streamable HTTP transport [3][4]. Its stated goal is to replace fragmented, one-off integrations with a single standardized protocol [2].
On adoption, the evidence points to rapid and broad supply-side uptake. Anthropic open-sourced MCP in late 2024, and official sources say it is supported by AI assistants such as Claude and ChatGPT and developer tools such as Visual Studio Code and Cursor [1][2]. Reporting also notes adoption by major AI providers including OpenAI and Google DeepMind, and Anthropic donated MCP to the Agentic AI Foundation, a fund under the Linux Foundation, in December 2025 [5]. One industry analysis counted published MCP servers growing from 3 in October 2024 to 6,878 by November 2025, about 2,200% growth in 13 months [6][10]. The official TypeScript SDK was reported at roughly 700,000 weekly npm downloads, and the Smithery discovery platform reportedly saw server creation triple in March 2025 alone [8]. A 2025 academic-style measurement study crawled six MCP marketplaces and, after filtering, analyzed about 8,400 valid projects: 8,060 servers and 341 clients [7].
However, the raw adoption numbers overstate real usage and quality. The measurement study found that more than half of raw marketplace listings were invalid, placeholders, abandoned, or otherwise low-value [7]. The O'Reilly analysis of 2,874 MCP servers found that the top 10 servers accounted for 45.7% of all GitHub stars, and the top 10% accounted for 88.3%, indicating highly concentrated attention and likely usage [9]. Smithery data showed that only 8 of its 2,500+ servers had passed 50,000 installs, with usage following a power-law distribution and clustering around developer-focused categories such as code, file search, and automation [8]. Enterprise telemetry from another report estimated that in a typical 10,000-person organization, 15.28% of employees run at least one local MCP server, totaling about 3,056 deployments, and that 38% of those servers were unofficial implementations from unknown authors, which the authors frame as a security risk [6][10].
Overall, MCP is widely adopted as an emerging standard by major AI vendors and the developer ecosystem, and its server ecosystem has grown extremely quickly. At the same time, actual end-user usage appears concentrated, technical, and noisier than headline server counts suggest, with meaningful security and quality concerns still unresolved [6][7][8][9][10].
Sources:
[1] What is the Model Context Protocol (MCP)? - Model Context Protocol - https://modelcontextprotocol.io/docs/2025-03-26/getting-started/intro
[2] Introducing the Model Context Protocol \ Anthropic - https://www.anthropic.com/research/model-context-protocol
[3] Overview - Model Context Protocol - https://modelcontextprotocol.io/specification/2025-11-25/basic
[4] Architecture overview - Model Context Protocol - https://modelcontextprotocol.io/docs/2025-03-26/learn/architecture
[5] Model Context Protocol - https://en.wikipedia.org/wiki/Model_Context_Protocol
[6] MCP Servers: What We Found When We Actually Looked - https://www.clutch.security/blog/mcp-servers-what-we-found-when-we-actually-looked
[7] A Measurement Study of Model Context Protocol Ecosystem - https://arxiv.org/html/2509.25292v3
[8] What MCP’s Rise Really Shows: A Tale of Two Ecosystems - https://www.madrona.com/what-mcps-rise-really-shows-a-tale-of-two-ecosystems/
[9] MCP in Practice – O’Reilly - https://www.oreilly.com/radar/mcp-in-practice/
[10] Model Context Protocol: A View from the Trenches - https://145696913.fs1.hubspotusercontent-eu1.net/hubfs/145696913/Clutch%20Security%20-%20MCP%20A%20View%20From%20The%20Trenches%202025.pdf</t>
        </is>
      </c>
    </row>
    <row r="8" ht="150" customHeight="1">
      <c r="A8" s="14" t="inlineStr">
        <is>
          <t>web-deepseek</t>
        </is>
      </c>
      <c r="B8" s="14" t="inlineStr">
        <is>
          <t>Simple lookups</t>
        </is>
      </c>
      <c r="C8" s="15" t="inlineStr">
        <is>
          <t>How does DeepSeek V4 pricing compare to Anthropic's Claude models?</t>
        </is>
      </c>
      <c r="D8" s="15" t="n">
        <v>3</v>
      </c>
      <c r="E8" s="15" t="inlineStr">
        <is>
          <t>Provides cited per-million-token prices for both DeepSeek V4 and Claude models and correctly concludes DeepSeek is roughly an order of magnitude cheaper for comparable mid/top tiers, with the low-end caveat supported.</t>
        </is>
      </c>
      <c r="F8" s="15" t="inlineStr">
        <is>
          <t>DeepSeek V4 is generally much cheaper than Anthropic's Claude models, especially in the mid- and top tiers, but the size of the gap depends on which price sheet you use.
At the official/list rates cited when V4 launched in April 2026, DeepSeek V4-Flash was $0.14 per 1M input tokens and $0.28 per 1M output tokens, and V4-Pro was $1.74 input / $3.48 output at list (or $0.435/$0.87 during a 75% promotional period) [3][5][7]. Against that, Anthropic's Claude line was Haiku 4.5 at $1/$5, Sonnet 4.6 at $3/$15, and Opus 4.7 at $5/$25 [3][4]. That means V4-Pro output was roughly 7x cheaper than Opus 4.7, and V4-Flash output was about 18x cheaper than Sonnet 4.6 and about 89x cheaper than Opus 4.7 [3][5].
More recent pricing complicates the low-end comparison. DeepSeek's current official API pricing for deepseek-flash (DeepSeek-V4.1-Flash-1017) uses peak/off-peak billing: cache-miss input is $0.15 off-peak / $0.30 peak, and output is $0.60 off-peak / $1.20 peak; deepseek-v4-pro is $0.66/$1.32 input and $1.98/$3.96 output, with cache-hit rates as low as $0.003 for Flash and $0.022 for Pro [6][10]. On the current OpenRouter model list (Oct 15, 2026), Anthropic's cheapest model, Claude Haiku 5.5, is $0.10 in / $0.50 out, which slightly undercuts DeepSeek's official Flash off-peak rate, but DeepSeek's cached-input prices are much lower, and mid/top-tier Claude models remain far more expensive: Sonnet 5.5 is $2/$10, Opus 5.5 is $4/$20, Opus 5 is $5/$25, and Fable 5.1 is $10/$50 [2][6].
Using third-party hosts or marketplaces widens DeepSeek's advantage. The same OpenRouter snapshot lists DeepSeek V4 Flash 0731 via DeepInfra at $0.06 in / $0.18 out, making it cheaper than Claude Haiku 5.5; the median DeepSeek model was $0.285 in / $1.00 out, against $4.50 in / $22.50 out for Claude, and the priciest listed DeepSeek was $0.45/$3.48 versus $15/$75 for Claude Opus 4.1 on Bedrock [2].
A worked 1M-call/month example estimated DeepSeek V4-Flash at about $117.60, compared with about $5,700 for Claude Sonnet 4.6 and roughly $9,500 for Opus 4.7; even stacking Anthropic's caching and batch discounts still left Sonnet 4.6 far above V4-Flash [3]. Anthropic does offer broad caching and batch discounts, while DeepSeek's current docs emphasize peak/off-peak and cache-hit pricing rather than an equivalent broad batch program [2][3][6].
Bottom line: for cost-sensitive workloads, DeepSeek V4 is dramatically cheaper than Claude's frontier and mid-tier models, with the largest gaps in output tokens. The only place the comparison tightens is at the very cheapest Claude model, Haiku 5.5, which can beat DeepSeek's official Flash list price but not the cheapest third-party-hosted DeepSeek V4 Flash rates [2][6].
Sources:
[1] Models &amp; Pricing | DeepSeek API Docs - https://api-docs.deepseek.com/quick_start/pricing
[2] Claude vs DeepSeek API pricing, compared model by model . Alexey Shurov - https://shurco.ai/tools/llm-api-pricing/compare/claude-vs-deepseek/
[3] DeepSeek vs Anthropic: 2026 Price &amp; Performance - https://deepseekai.guide/comparisons/deepseek-vs-anthropic/
[4] DeepSeek V4 is here: How it compares to ChatGPT, Claude, Gemini - https://tech.yahoo.com/ai/gemini/articles/deepseek-v4-compares-chatgpt-claude-215424317.html
[5] Claude Opus 4.7 vs DeepSeek V4: A Complete Comparison - https://www.datacamp.com/blog/deepseek-v4-vs-claude-opus-4-7
[6] Models &amp; Pricing | DeepSeek API Docs - https://api-docs.deepseek.com/quick_start/pricing/
[7] DeepSeek | API Platform - https://www.deepseek.com/en/platform/
[8] 模型 &amp; 价格 | DeepSeek API Docs - https://api-docs.deepseek.com/zh-cn/quick_start/pricing
[9] Your First API Call | DeepSeek API Docs - https://api-docs.deepseek.com/
[10] Model pricing - https://www.tencentcloud.com/document/product/1300/78937</t>
        </is>
      </c>
    </row>
    <row r="9" ht="150" customHeight="1">
      <c r="A9" s="14" t="inlineStr">
        <is>
          <t>mixed-genre</t>
        </is>
      </c>
      <c r="B9" s="14" t="inlineStr">
        <is>
          <t>Simple lookups</t>
        </is>
      </c>
      <c r="C9" s="15" t="inlineStr">
        <is>
          <t>Which music genre has the most tracks in the chinook database, and what is that genre's real-world popularity today?</t>
        </is>
      </c>
      <c r="D9" s="15" t="n">
        <v>3</v>
      </c>
      <c r="E9" s="15" t="inlineStr">
        <is>
          <t>The answer correctly identifies Rock as the Chinook top genre with 1,297 tracks and adds cited, current real-world popularity context showing rock as a strong second genre rather than the top genre.</t>
        </is>
      </c>
      <c r="F9" s="15" t="inlineStr">
        <is>
          <t>Chinook’s largest genre is **Rock**, with **1,297 tracks** [1]. In today’s real-world music market, rock is a major genre but not the single most popular. Luminate’s 2025 U.S. year-end data put **R&amp;B/Hip-Hop first with 25.5% of on-demand audio streams**, while **Rock was second at 15.3%** and roughly flat year-over-year [6]. A Spotify-focused 2025 summary likewise ranked global genres as **Hip-Hop/R&amp;B first and Rock second**, followed by Pop, Latin, and Country [4]. Rock did have strong momentum: it grew U.S. streaming share by 6.4% year-over-year in 2025, and Luminate described it as the “largest growth genre” of the year [2][5]. However, the most-streamed songs globally are still dominated by pop, hip-hop, and K-pop [5]. So the Chinook leader remains a top-tier real-world genre today, but it is better described as a strong second place rather than the most popular genre overall.
Sources:
[1] internal database (chinook)
[2] Luminate Year-End Music Report 2025 - https://view.ceros.com/luminate-data/luminate-year-end-music-report-2025-1
[3] Global music streams hit 5 trillion in 2025 | AP News - https://apnews.com/article/music-listening-habits-2025-christian-rock-latin-a5e06a001705cd7e5d3854d8fab901b8
[4] Spotify-Statistiken: Nutzer-, Künstler- und Marktdaten (2025) - https://www.socialplug.io/de/blog/spotify-statistiken
[5] Rock Music Just Had One of Its Best Streaming Years Despite Being 'Dead' - Parade - https://parade.com/news/rock-music-just-had-one-of-its-best-streaming-years-despite-being-dead
[6] etl/luminate__ye2025_us_genre_share_to_parquet.py - https://github.com/joaoroquedasilvajunior/atana-data/blob/main/etl/luminate__ye2025_us_genre_share_to_parquet.py</t>
        </is>
      </c>
    </row>
    <row r="10" ht="150" customHeight="1">
      <c r="A10" s="14" t="inlineStr">
        <is>
          <t>unanswerable</t>
        </is>
      </c>
      <c r="B10" s="14" t="inlineStr">
        <is>
          <t>Simple lookups</t>
        </is>
      </c>
      <c r="C10" s="15" t="inlineStr">
        <is>
          <t>What was the exact revenue of the chinook music store in the third quarter of 2027?</t>
        </is>
      </c>
      <c r="D10" s="15" t="n">
        <v>3</v>
      </c>
      <c r="E10" s="15" t="inlineStr">
        <is>
          <t>The answer correctly states that no Q3 2027 data exists because the invoice table's latest date is 2025-12-22, and it cites the internal database rather than inventing a revenue figure.</t>
        </is>
      </c>
      <c r="F10" s="15" t="inlineStr">
        <is>
          <t>The Chinook database contains no invoices for the third quarter of 2027. A query summing invoice totals for July 1 through September 30, 2027 returned no data, and the invoice table's latest date is 2025-12-22 [1]. Therefore, within the database, the exact recorded revenue for Q3 2027 is $0.00; there are no 2027 transactions to report.
Sources:
[1] internal database (chinook)</t>
        </is>
      </c>
    </row>
    <row r="11" ht="150" customHeight="1">
      <c r="A11" s="14" t="inlineStr">
        <is>
          <t>contradiction</t>
        </is>
      </c>
      <c r="B11" s="14" t="inlineStr">
        <is>
          <t>Simple lookups</t>
        </is>
      </c>
      <c r="C11" s="15" t="inlineStr">
        <is>
          <t>Is Groq's built-in web search a good choice for a deep research agent that needs citations?</t>
        </is>
      </c>
      <c r="D11" s="15" t="n">
        <v>2</v>
      </c>
      <c r="E11" s="15" t="inlineStr">
        <is>
          <t>The answer gives a well-cited, substantive 'no' based on decommissioning and single-pass limitations, but it misses the criterion's specific concern by claiming source URLs are exposed rather than noting that built-in search makes citations hard by not exposing them, so it has a notable gap.</t>
        </is>
      </c>
      <c r="F11" s="15" t="inlineStr">
        <is>
          <t>Short answer: No—at least not for a new deep-research build right now. Groq's built-in web search had promising citation features on paper, but it is tied to systems that Groq says have been decommissioned, and it was never a deep multi-page browsing tool.
What it offered: The Web Search docs say API responses automatically include citations with a complete list of referenced sources, and `citation_options` can be enabled or disabled [1][2]. Raw search results are also exposed via `message.executed_tools[0].search_results`, including titles, URLs, snippets, and relevance scores, which lets a developer verify sources or build custom citations [1][7]. Groq says the search is powered by Tavily, a search API designed for language-model citation and ranking [1][7]. There are also `include_domains` and `exclude_domains` settings to constrain sources [2][7].
Why it is weak for deep research: Groq's web search performs a single search and retrieves text snippets, unlike its Browser Search tool, which navigates sites interactively [1][7]. Deep research agents usually need iterative querying, page navigation, cross-source synthesis, and stronger provenance control. The built-in web search runs server-side with Groq handling orchestration, which is convenient but gives the agent less control over the research loop [1][3][7]. It is also not available for HIPAA-covered or regional/sovereign endpoint use [1][3][7].
The decisive problem is availability. Built-in web search is documented as supported only on `groq/compound` and `groq/compound-mini` [1][7], and Groq's own deprecation and model pages state that both were decommissioned on September 21, 2026 [6][9][10][11]. The deprecation list shows no recommended replacement model ID [9][12]. Some Web Search documentation still lists those systems as supported, so Groq's docs appear inconsistent, but the deprecation notice, changelog, and model pages are explicit that the endpoints no longer work [1][6][7][9][10][11].
There is a separate built-in Browser Search tool on `openai/gpt-oss` models, but that is a different interactive tool, and the cited docs do not advertise the same automatic citation pipeline; it is also not compatible with structured outputs [3][5]. Overall, if reliable citations are a hard requirement, Groq's built-in web search is not a good foundation right now because it is effectively unavailable and was a snippet-level single search rather than a deep research loop.
Sources:
[1] Web Search - GroqDocs - https://console.groq.com/docs/web-search
[2] API Reference - GroqDocs - https://console.groq.com/docs/api-reference
[3] Groq Built-In Tools - GroqDocs - https://console.groq.com/docs/tool-use/built-in-tools
[4] qai-sdk 0.1.26 - Docs.rs - https://docs.rs/crate/qai-sdk/latest/source/examples/groqcloud_web_search.rs
[5] Browser Search - GroqDocs - https://console.groq.com/docs/tool-use/built-in-tools/browser-search
[6] Compound - GroqDocs - https://console.groq.com/docs/compound/systems/compound
[7] Web Search - GroqDocs - https://console.groq.com/docs/tool-use/built-in-tools/web-search
[8] Use Cases - GroqDocs - https://console.groq.com/docs/compound/use-cases
[9] Model Deprecation - GroqDocs - https://console.groq.com/docs/deprecations
[10] Compound Mini - GroqDocs - https://console.groq.com/docs/compound/systems/compound-mini
[11] Compound Changelog - GroqDocs - https://console.groq.com/docs/changelog/compound
[12] groq/compound-mini shut down on Sep 21, 2026 (Groq) · ModelClock - https://model-clock.com/models/groq/groq%2Fcompound-mini</t>
        </is>
      </c>
    </row>
    <row r="12" ht="150" customHeight="1">
      <c r="A12" s="14" t="inlineStr">
        <is>
          <t>hard-search-apis</t>
        </is>
      </c>
      <c r="B12" s="14" t="inlineStr">
        <is>
          <t>Multi-part</t>
        </is>
      </c>
      <c r="C12" s="15" t="inlineStr">
        <is>
          <t>Compare Exa, Tavily and Brave as the search backend for a research agent that must cite its sources. Cover per-request price, free tier, and how each one's result format affects citation, then recommend one.</t>
        </is>
      </c>
      <c r="D12" s="15" t="n">
        <v>3</v>
      </c>
      <c r="E12" s="15" t="inlineStr">
        <is>
          <t>The answer covers Exa, Tavily, and Brave across price, free tier, and result format with cited figures and ends with a reasoned recommendation.</t>
        </is>
      </c>
      <c r="F12" s="15" t="inlineStr">
        <is>
          <t>Comparison: Exa, Tavily, and Brave as search backends for a citation-required research agent.
Per-request price (public list, pay-as-you-go unless noted):
- Exa: prepaid credits. /search lite and instant are $4 per 1,000 requests, i.e. $0.004 per request for up to 10 results; auto and fast are $7 per 1,000 ($0.007); each result above 10 costs $1 per 1,000; AI page summaries cost $1 per 1,000 pages; /answer is $5 per 1,000 ($0.005); /contents is $1 per 1,000 pages per content type [1][3][4]. A 15-result auto call would be the $0.007 base plus 5 extra results at $0.001 each, so $0.012 before any summaries.
- Tavily: credit-based. Pay-as-you-go is $0.008 per credit; basic search uses 1 credit ($0.008) and advanced uses 2 credits ($0.016) [6][8]. Monthly plans lower the per-credit price to $0.0075 down to $0.005, making basic about $0.005 to $0.0075 [6]. Tavily Research is separate and dynamic: mini 4-110 credits, pro 15-250 credits per request [6].
- Brave: the Search plan includes Web, News, Images, Videos, and LLM Context at $5 per 1,000 requests ($0.005) [11][20]. The Answers plan is $4 per 1,000 web searches plus $5 per million input/output tokens [11][13][20]. Brave has also published a vendor-run FreshQA comparison claiming its all-in cost per 1,000 questions is much lower than Exa and Tavily, but that figure includes model token costs and is from Brave's own materials [11].
Free tier:
- Exa: $10 in credits every month, resetting on the first of the month and not rolling over, plus a one-time $10 onboarding bonus for the first team [1][3]. At lite rates that is up to 2,500 searches per month; at auto it is roughly 1,428 [1][4]. The free tier does not include Exa Snapshot [3].
- Tavily: free Researcher plan of 1,000 credits per month, no credit card required [6][7]. That is 1,000 basic searches or 500 advanced searches per month.
- Brave: current documentation says there is no standalone free plan; each plan gets $5 in free credits that renew monthly, equivalent to about 1,000 Search requests, and using it without a prepaid balance requires entering a card and setting prepay to $0 [18][20]. Older pages describing 2,000 free queries per month are outdated [14][17].
How result format affects citation:
- Exa is the strongest for citation plumbing. Search results expose title, url, publishedDate, author, text, highlights, score, and optional page summary [2][5]. More importantly, if you supply an outputSchema, the response includes an output.grounding array with field-level citation entries of url and title plus a confidence level, which supports per-claim attribution. The /answer endpoint returns an answer plus a citations array of source result objects [1][2][5]. That means a research agent can cite either per-field or per-answer without rebuilding a mapping from a separate results list.
- Tavily is source-list style. Its results provide title, url, content, score, optional raw_content, and optional favicon/images; published_date is available only if include_published_date is enabled and defaults off except for news [8][21][22]. It can return an include_answer LLM summary grounded in the results, but the response is an answer string plus a flat results array, not sentence-level citations; Tavily materials say the answer only references returned results and advise displaying the top sources alongside it [23]. An agent would need to map claims to sources itself.
- Brave depends on which endpoint you use. The classic Web Search endpoint returns title, url, description, and optional extra snippets; it does not pull full raw page content, so citations based on Search API alone are conventional URL-plus-snippet citations [12][14]. The LLM Context endpoint returns extracted, ranked context with a URL and timestamp and supports token budgets, which gives traceable evidence snippets [11][20]. The Answers endpoint is the explicit citation path: it is described as grounded with citations and streaming [11][13].
Recommendation:
For a research agent whose core requirement is citing sources, Exa is the best default. It has the most direct citation features (author/date metadata, page text/highlights, field-level grounding, and /answer citations) at a base search price of $0.004-$0.007, with a $10 monthly free allowance that is generous enough to test real workflows [1][2][3][5]. Tavily is the simpler low-cost option if a flat source list is acceptable and you stick to basic searches; Brave is attractive if you specifically want an independent index, token-budgeted LLM context, or privacy, but its strongest citation affordances sit in the Answers tier with variable token costs. On balance, choose Exa.
Sources:
[1] Pricing - Exa - https://exa.ai/docs/admin/pricing
[2] Search - Exa - https://exa.ai/docs/reference/search
[3] Billing and Rate Limits - Exa - https://exa.ai/docs/admin/billing
[4] Exa Search API - https://exa.ai/docs/search/quickstart
[5] (untitled) - https://exa.ai/docs/sdks/typescript-sdk-specification
[6] Credits &amp; Pricing - Tavily Docs - https://docs.tavily.com/documentation/api-credits
[7] Tavily Pricing - https://www.tavily.com/pricing
[8] (untitled) - https://docs.tavily.com/documentation/api-reference/endpoint/search
[9] Basic vs. Advanced Search: What's the Difference? | Tavily Help Center - https://help.tavily.com/articles/6938147944-basic-vs-advanced-search-what-s-the-difference
[10] Frequently Asked Questions - Tavily Docs - https://docs.tavily.com/faq/faq
[11] Brave Search API | Brave - https://brave.com/search/api/
[12] Web Search - Brave Search API - https://api-dashboard.search.brave.com/documentation/services/web-search
[13] Introducing AI Grounding with Brave Search API, providing enhanced search performance in AI applications | Brave - https://brave.com/blog/ai-grounding/
[14] How does the Brave Search API compare to other Web search API options? | Brave - https://brave.com/search/api/guides/what-sets-brave-search-api-apart/
[15] Brave Review: Private Search For Clean AI Data - https://data4ai.com/vendors/ai-search/brave-browser/
[16] Pricing - https://api-dashboard.search.brave.com/documentation/pricing
[17] Brave releases its Search API, bringing independence and competition to the search landscape | Brave - https://brave.com/blog/search-api-launch/
[18] Help &amp; Feedback - https://api-dashboard.search.brave.com/documentation/resources/help-feedback
[19] Brave Search - API - https://api-dashboard.search.brave.com/app/plans
[20] Brave launches most powerful search API for AI to date | Brave - https://brave.com/blog/most-powerful-search-api-for-ai/
[21] SDK Reference - Tavily Docs - https://docs.tavily.com/sdk/javascript/reference
[22] SDK Reference - Tavily Docs - https://docs.tavily.com/sdk/python/reference
[23] Answer citations | Tavily Api Beginner Course | The Neural Base - https://theneuralbase.com/tavily-api/learn/beginner/answer-citations/
[24] src/providers/tavily.ts - https://github.com/oritwoen/websxa/blob/1a48fb38/src/providers/tavily.ts</t>
        </is>
      </c>
    </row>
    <row r="13" ht="150" customHeight="1">
      <c r="A13" s="14" t="inlineStr">
        <is>
          <t>hard-model-landscape</t>
        </is>
      </c>
      <c r="B13" s="14" t="inlineStr">
        <is>
          <t>Multi-part</t>
        </is>
      </c>
      <c r="C13" s="15" t="inlineStr">
        <is>
          <t>For an agent that plans, calls tools repeatedly, and writes long reports, compare DeepSeek V4, Claude, and one open-weight alternative on price, tool-calling reliability, and context window. Say which you would pick for the planning role and why.</t>
        </is>
      </c>
      <c r="D13" s="15" t="n">
        <v>3</v>
      </c>
      <c r="E13" s="15" t="inlineStr">
        <is>
          <t>The answer names three distinct model families, provides concrete cited figures for price, context window, and tool-calling reliability for each, explicitly distinguishes tool-calling benchmarks from general coding, and ends with a planning-role pick backed by those tradeoffs.</t>
        </is>
      </c>
      <c r="F13" s="15" t="inlineStr">
        <is>
          <t>I compared DeepSeek V4 (Pro/Flash), Anthropic Claude (Opus 5.5 and Sonnet 5.5), and GLM-5.3-Flash as the open-weight alternative.
Price: DeepSeek V4-Pro is $1.74 per million input tokens and $3.48 per million output, with $0.145 per million cache hits; V4-Flash is $0.14/$0.28 with $0.028 cache hits [1][2]. Claude Opus 5.5 is $4/$20 with $0.20 cache hits, and Claude Sonnet 5.5 is $2/$10 with $0.10 cache hits [6][7][9]. GLM-5.3-Flash is much cheaper at $0.15/$0.50 with $0.03 cached input and is MIT-licensed/open-weight [14][21][24]. Claude Opus 5.5 is therefore about 2.3x DeepSeek V4-Pro on input and about 5.7x on output.
Context window: All three have 1M-token input contexts: DeepSeek V4-Pro and Flash accept 1M tokens and can generate up to 384K output tokens [2][3][5]; Claude models accept 1M tokens but cap output at 128K [6][8][9]; GLM-5.3-Flash accepts 1M tokens and caps output at 128K [22][24][25]. The DeepSeek long-context case has a caveat that retrieval is not uniform across the window, with the first 256K more reliable than later parts [4].
Tool-calling reliability: On the HKUST Toolathlon-Verified benchmark, GLM-5.3-Flash leads at 78.4%, Claude Opus 4.8 is at 76.2%, DeepSeek V4-Pro is at 74.4%, and DeepSeek V4-Flash is at 70.7% [16]. A later BenchLM comparison puts Claude Opus 5.5 at 77.8% and GLM-5.3-Flash at 78.4% on the same benchmark [18]. So for pure tool syntax/selection, all are close, but GLM and Claude have a small edge over DeepSeek. DeepSeek has an architectural advantage for repeated tool calls: its XML-based tool-call schema reduces escaping/parsing errors, and it preserves interleaved reasoning across tool calls [3]. For planning depth, the picture shifts: on tool-augmented HLE, Claude Opus 5.5 scores 67.7%, DeepSeek V4-Pro 0813 scores 60.0%, and GLM-5.3-Flash scores 55.3% [19].
Pick: I would choose DeepSeek V4-Pro for the planning role. It gives the best balance for this workload: near-Claude tool-calling reliability (74.4 versus 76.2/77.8) [16][18], stronger planning/reasoning with tools than the cheaper open-weight GLM option (60.0 versus 55.3 HLE with tools) [19], a 1M context window with a much larger 384K output ceiling for long reports [2][3], and pricing that is far below Claude Opus 5.5, especially on output tokens ($3.48 versus $20) [1][2][7][9]. Claude Opus 5.5 would be the choice if absolute frontier planning quality is worth the premium, since its HLE-with-tools score is higher [19], but for a cost-sensitive agent that calls tools repeatedly and writes long reports, DeepSeek V4-Pro is the strongest practical pick.
Sources:
[1] 模型价格 - https://www-sg.tencentcloud.com/zh/document/product/1300/78937
[2] DeepSeek V4 API Pricing - https://apidog.com/blog/deepseek-v4-api-pricing/
[3] DeepSeek-V4: a million-token context that agents can ... - https://huggingface.co/blog/deepseekv4
[4] (untitled) - https://docs.together.ai/docs/deepseek-v4-quickstart
[5] DeepSeek API Guide - https://www-sg.tencentcloud.com/document/product/1300/80633
[6] Models overview - https://platform.claude.com/docs/en/models/overview
[7] Pricing - https://platform.claude.com/docs/en/about-claude/pricing
[8] Context windows - https://platform.claude.com/docs/en/build-with-claude/context-windows
[9] Anthropic List Prices — 2026-10-07 - https://assets.claude.com/1ef7a4a8e373004bc89d710b0a6f3f219323344f.pdf
[10] Claude Platform release notes - https://platform.claude.com/docs/en/release-notes/overview
[11] Open-Weight LLM Leaderboard | LMSA - https://lmsa.app/leaderboard/
[12] Best LLMs for Agents and Function Calling | Which LLM - https://whichllm.together.ai/use-case/agents-and-function-calling/best-llms
[13] Cheapest Agent LLMs · Ranked by Price and Tool Use Score | BenchGecko - https://benchgecko.ai/pricing/agents
[14] Best LLM for AI Agents (2026): Picks, Prices, How to Test | Promptise - https://www.promptise.com/guides/view/best-llm-for-ai-agents
[15] Models with tool calling | PicksByModel - https://picksbymodel.com/tools/
[16] Toolathlon-Verified Scores — Results by Model | AIB - https://www.aib.vote/en/benchmarks/toolathlon-verified
[17] LLM Stats (Toolathlon) Leaderboard · The Aggregate - https://theaggregate.ai/benchmark?slug=llm-stats-toolathlon
[18] Claude Opus 5.5 vs GLM-5.3-Flash - https://benchlm.ai/compare/claude-opus-5-5-vs-glm-5-3-flash
[19] Humanity's Last Exam with tools (HLE w/ tools) - https://benchlm.ai/benchmarks/hlewithtools
[20] Best AI for Tool Calling 2026 - Top Function Calling Models - https://llm-stats.com/leaderboards/best-ai-for-tool-calling
[21] Pricing - Overview - Z.AI DEVELOPER DOCUMENT - https://docs.z.ai/guides/overview/pricing
[22] GLM-5.3-Flash/FlashX - Overview - Z.AI DEVELOPER DOCUMENT - https://docs.z.ai/guides/vlm/glm-5.3-flash
[23] Z.ai API Platform — Start building with GLM-5.3 - https://z.ai/model-api
[24] glm-5.3-flash (Zhipu AI) · Cloudflare AI docs · Cloudflare AI docs - https://developers.cloudflare.com/ai/models/%40cf/zai-org/glm-5.3-flash/
[25] ZHIPU/GLM-5.3-Flash Model Info-Alibaba Cloud Model Studio(Model Studio)-阿里云帮助中心 - https://help.aliyun.com/en/model-studio/glm-5-3-flash-by-zhipu</t>
        </is>
      </c>
    </row>
    <row r="14" ht="150" customHeight="1">
      <c r="A14" s="14" t="inlineStr">
        <is>
          <t>hard-chinook-market</t>
        </is>
      </c>
      <c r="B14" s="14" t="inlineStr">
        <is>
          <t>Multi-part</t>
        </is>
      </c>
      <c r="C14" s="15" t="inlineStr">
        <is>
          <t>Find the top 3 countries by invoice revenue in the chinook database, then describe what the recorded-music market looks like in each of those countries today, and note where the database's ranking diverges from the real market.</t>
        </is>
      </c>
      <c r="D14" s="15" t="n">
        <v>3</v>
      </c>
      <c r="E14" s="15" t="inlineStr">
        <is>
          <t>The answer accurately reports the Chinook top-3 with figures, gives cited current market context for the US, Canada, and France separately, and explicitly compares the database ranking to real-world rankings.</t>
        </is>
      </c>
      <c r="F14" s="15" t="inlineStr">
        <is>
          <t>The Chinook database ranks countries by the store's own invoice totals: the USA leads with $523.06, Canada is second with $303.96, and France is third with $195.10 [1]. The ranking is based on transactional billing in the database, not on national recorded-music market size.
Today's recorded-music landscape, using the latest IFPI 2024 data, looks different. The IFPI Global Music Report 2025 puts global recorded-music revenues at $29.6 billion, up 4.8%, with streaming exceeding $20 billion for the first time [2][4]. The real top 10 markets are: USA, Japan, UK, Germany, China, France, South Korea, Canada, Brazil, and Mexico [2][4][5].
The USA is first in both the database and the real market. IFPI ranks it as the world's largest recorded-music market, with 2.2% growth in 2024 [2][4]. RIAA data shows US recorded-music revenue reached $17.7 billion in 2024, up 3%, with streaming generating $14.9 billion, or 84% of revenue [8][9][10]. Paid subscriptions reached 100 million for the first time and brought in $11.7 billion, while vinyl grew 7% to $1.4 billion and physical revenue overall reached $2 billion [8][9][11].
Canada is the eighth-largest recorded-music market, not the second, with 2024 revenue of about $660.3 million US, up roughly 1.5% [2][4][12][14]. Music Canada notes that 2023 included a one-off performance-rights payment, making the 2024 comparison look weaker than the underlying trend [12]. Streaming revenue reached $520.1 million, up 4.2%, with paid subscriptions at $422.7 million, up 6.2% [12]. Canadians streamed 145.1 billion songs in 2024, up 9.5%, though combined digital and physical album sales were down about 1% [13].
France is the sixth-largest recorded-music market, not third, with 2024 revenue of about EUR 1.031 billion, or $1.12 billion, up around 7% [2][4][5][15]. Streaming generated EUR 664 million, up 9.5%, and paid subscriptions generated EUR 522 million, up 11.4% [15]. France has a relatively large physical market: physical sales made up nearly 19% of revenue, and vinyl revenue exceeded CD revenue for the first time since 1987, although CDs still sold more units [15]. SNEP notes that French streaming penetration remains lower than in the UK, Germany, and the US, at 25.9% [15].
The main divergence is therefore in the order behind the USA. Chinook puts Canada second and France third, but the real recorded-music market puts Japan second, the UK third, Germany fourth, and China fifth, with France sixth and Canada eighth [2][4][5]. The database ranking likely reflects where the Chinook store's invoiced customers are concentrated rather than the actual size of national music markets.
Sources:
[1] internal database (chinook)
[2] GLOBAL MUSIC REPORT 2025 - https://www.ifpi.org/wp-content/uploads/2024/03/GMR2025_SOTI.pdf
[3] CONTENTS - https://gmr.ifpi.org/downloads/IFPI_Global_Music_Report_2025_Contents.pdf
[4] IFPI: AMIDST HIGHLY COMPETITIVE MARKET, GLOBAL RECORDED MUSIC REVENUES GREW 4.8% IN 2024 - IFPI - https://www.ifpi.org/ifpi-amidst-highly-competitive-market-global-recorded-music-revenues-grew-4-8-in-2024/
[5] List of largest recorded music markets - https://en.wikipedia.org/wiki/List_of_largest_recorded_music_markets
[6] IFPI Global Music Report 2024 - https://www.simkins.com/news/ifpi-global-music-report-2024
[7] GMR_2024_State_of_the_Industry.pdf - https://www.ifpi.org/wp-content/uploads/2024/04/GMR_2024_State_of_the_Industry.pdf
[8] RIAA 2024 YEAR-END - https://www.riaa.com/wp-content/uploads/2025/04/RIAA-2024Year-End-Revenue-Report.pdf
[9] RIAA 2024 YEAR-END - https://www.riaa.com/wp-content/uploads/2025/03/RIAA-2024Year-End-Revenue-Report.pdf
[10] U.S. music industry - revenue distribution by source 2024 | Statista - https://www.statista.com/statistics/186304/revenue-distribution-in-the-us-music-industry/
[11] RIAA 2024 Music Report: Revenue Up 3% as Streaming Subs, Vinyl Grow - https://www.billboard.com/pro/riaa-2024-year-end-music-report-streaming-vinyl-revenue/
[12] IFPI’s Global Music Report 2025 reveals tenth consecutive year of growth - Music Canada - https://musiccanada.com/news/ifpis-global-music-report-2025-reveals-tenth-consecutive-year-of-growth/
[13] The numbers for music in Canada for 2024 are in. What can we learn? - National | Globalnews.ca - https://globalnews.ca/news/10962069/canada-music-2024-numbers/
[14] Canada: total music market revenue 2024 | Statista - https://www.statista.com/statistics/439616/total-music-market-revenue-canada/
[15] France’s recorded music revenues reached $1.1bn in 2024, up 7% YoY - Music Business Worldwide - https://www.musicbusinessworldwide.com/frances-recorded-music-revenues-reached-1-1bn-in-2024-as-exports-soared-19/
[16] Au-delà des tops ! - https://www.culture.gouv.fr/content/download/362717/pdf_file/CE-2024-3-Musique-enregistree.pdf?inLanguage=fre-FR&amp;version=3
[17] LE MARCHÉ FRANÇAIS DE LA MUSIQUE ENREGISTRÉE EN PROGRESSION AU 1ER SEMESTRE 2024 - SNEP - https://snepmusique.com/actualites-du-snep/le-marche-francais-de-la-musique-enregistree-en-progression-au-1er-semestre-2024/
[18] UK and France figures show recorded-music growth in 2024 - Music Ally - https://musically.com/2025/03/12/uk-and-france-figures-show-recorded-music-growth-in-2024/</t>
        </is>
      </c>
    </row>
    <row r="15" ht="150" customHeight="1">
      <c r="A15" s="14" t="inlineStr">
        <is>
          <t>hard-mcp-timeline</t>
        </is>
      </c>
      <c r="B15" s="14" t="inlineStr">
        <is>
          <t>Multi-part</t>
        </is>
      </c>
      <c r="C15" s="15" t="inlineStr">
        <is>
          <t>Trace how the Model Context Protocol went from launch to its 2026 state: what drove adoption, how large the ecosystem got, and what the 2026-07-28 specification changed for people building agents.</t>
        </is>
      </c>
      <c r="D15" s="15" t="n">
        <v>3</v>
      </c>
      <c r="E15" s="15" t="inlineStr">
        <is>
          <t>The answer covers launch and early adoption drivers, provides concrete ecosystem figures with citations, details the 2026-07-28 spec changes, and links adoption drivers to ecosystem growth in a coherent account.</t>
        </is>
      </c>
      <c r="F15" s="15" t="inlineStr">
        <is>
          <t>Launch and adoption path: Anthropic open-sourced the Model Context Protocol on Nov 25, 2024 as a universal open standard to connect AI assistants to data sources and replace fragmented custom integrations. The launch included the spec and SDKs, local MCP server support in Claude Desktop, and pre-built servers for Google Drive, Slack, GitHub, Git, Postgres, and Puppeteer. Early adopters included Block and Apollo, and developer-tool companies Zed, Replit, Codeium, and Sourcegraph began integrating it [1]. Adoption was driven partly by the protocol design itself: it decouples tool implementation from usage, supports dynamic discovery and schema negotiation, enables bidirectional communication, and treats access control and capability negotiation as first-class features [3]. Community-run directories such as MCP.so, Glama, and PulseMCP also filled the gap left by the absence of an official marketplace, hosting thousands of servers and lowering discovery friction [3]. A 2026 study found MCP-related publications and GitHub repositories began rapid growth within about a month of each other in 2025 and peaked together in March 2026; one later growth wave alone accounted for 49.5% of MCP-related GitHub repositories. Most publications, 57.8%, and nearly all repositories, 93.7%, used MCP as an enabling technology rather than studying or extending it directly [2].
Ecosystem size by 2026: The same study counted 33,319 MCP-related GitHub repositories and 802 MCP-related publications by September 2026 [2]. A separate large-scale marketplace crawl produced a more cautious picture: across six markets it collected 17,630 raw entries but only 8,401 valid projects survived filtering, comprising 8,060 servers and 341 clients. More than half of listed projects were placeholders, forks, or abandoned, MCP.so dominated but had plateaued, and MCP Market was contributing most ongoing growth [4]. On the official side, the 2026-07-28 announcement reported close to half a billion SDK downloads per month, with both the TypeScript and Python SDKs crossing 1 billion total downloads [7]. So the ecosystem was very large on paper, but measurements showed substantial quality and sustainability variance.
The 2026-07-28 specification changed several things for people building agents. The headline change is a stateless protocol core: protocol-level sessions and the initialize/initialized handshake were removed, and each request now carries protocol version and client capabilities in _meta. Servers advertise versions, capabilities, and identity through server/discover. This lets requests land on any instance behind plain round-robin load balancing, improving reliability and scalability [6][7][10]. Server-to-client change notifications were consolidated into subscriptions/listen, replacing the HTTP GET endpoint and resources/subscribe and resources/unsubscribe [6]. Server-initiated requests for sampling, elicitation, and roots were replaced by Multi Round-Trip Requests: a server returns resultType input_required with inputRequests, and the client retries with inputResponses. Every result now carries a resultType field [6][7]. This removes the need for constantly open bidirectional streams [7]. For routing and caching, Streamable HTTP requests must include Mcp-Method and Mcp-Name headers, and list responses from tools/list, prompts/list, resources/list, and related methods now carry ttlMs and cacheScope, with deterministic ordering to improve client and prompt caching [6][7]. The release also formalized an extensions framework, moving experimental Tasks into an official extension, and added an extensions field to capabilities [6][7]. Authorization was hardened with RFC 9207 issuer validation, issuer-bound client credentials, and a shift from Dynamic Client Registration toward Client ID Metadata Documents [6][7]. Builders also now face an explicit deprecation policy with a twelve-month minimum window: Roots, Sampling, and Logging were deprecated, as were the old HTTP+SSE transport and some includeContext values [6]. These are breaking changes, with SDK migration notes provided [7].
Sources:
[1] Introducing the Model Context Protocol - https://www.anthropic.com/news/model-context-protocol
[2] [2609.14721] A Two-Dimensional Study of the Model Context Protocol: Publication and Adoption - https://arxiv.org/abs/2609.14721
[3] Model Context Protocol (MCP): Landscape, Security Threats, and Future Research Directions | ACM Transactions on Software Engineering and Methodology - https://dl.acm.org/doi/10.1145/3796519
[4] A Measurement Study of Model Context Protocol Ecosystem - https://arxiv.org/html/2509.25292
[5] Roadmap - https://modelcontextprotocol.io/development/roadmap
[6] docs/specification/2026-07-28/changelog.mdx - https://github.com/modelcontextprotocol/modelcontextprotocol/blob/main/docs/specification/2026-07-28/changelog.mdx
[7] The 2026-07-28 Specification | Model Context Protocol Blog - https://blog.modelcontextprotocol.io/posts/2026-07-28/
[8] docs/specification/2026-07-28/index.mdx - https://github.com/modelcontextprotocol/modelcontextprotocol/blob/main/docs/specification/2026-07-28/index.mdx
[9] Streamable HTTP - Model Context Protocol - https://modelcontextprotocol.io/specification/2026-07-28/basic/transports/streamable-http
[10] Scaling AI Agent Infrastructure with the MCP Stateless updates
            - Google Developers Blog - https://developers.googleblog.com/scaling-ai-agent-infrastructure-with-the-mcp-stateless-updates/</t>
        </is>
      </c>
    </row>
    <row r="16" ht="150" customHeight="1">
      <c r="A16" s="14" t="inlineStr">
        <is>
          <t>hard-lending-compare</t>
        </is>
      </c>
      <c r="B16" s="14" t="inlineStr">
        <is>
          <t>Multi-part</t>
        </is>
      </c>
      <c r="C16" s="15" t="inlineStr">
        <is>
          <t>Compare the rise in fintech lending defaults in Indonesia with the situation in at least two other Asian markets. Cover the default figures, what regulators blamed, and what each regulator did about it.</t>
        </is>
      </c>
      <c r="D16" s="15" t="n">
        <v>3</v>
      </c>
      <c r="E16" s="15" t="inlineStr">
        <is>
          <t>The answer covers Indonesia, India, and China in comparable depth, giving cited default or delinquency figures, regulator-attributed causes, and regulatory responses for each.</t>
        </is>
      </c>
      <c r="F16" s="15" t="inlineStr">
        <is>
          <t>{"action":"answer","text":"Fintech-lending default comparison: Indonesia, India and China\n\nIndonesia\nIndonesia reports the clearest aggregate fintech-lending default metric. OJK recorded P2P lending TWP90 (loans overdue more than 90 days) at Rp1.79 trillion in February 2024, a loan ratio of 2.95%, up about 27% from Rp1.40 trillion a year earlier [1]. By May 2024 the industry TWP90 ratio was 2.91%, with 15 P2P lenders above OJK's 5% threshold [2][5]. By June 2024 the number above 5% had risen to 19 lenders, even as the industry ratio improved slightly to 2.79% [3].\n\nThe worst disclosed case was TaniFund: its 90-day success repayment rate (TKB90) was only 36.07%, meaning a default rate of 63.93% against OJK's 5% ceiling. OJK revoked TaniFund's licence in May 2024 because it failed to meet the minimum equity requirement and did not implement OJK's supervisory recommendations [1]. Investree was also under investigation for suspected fraud; OJK said there was still no report of a capital injection or a plan to resolve its default problem [2][5], and its licence was later revoked [4].\n\nOJK's explanation focused on platform-level compliance and solvency failures rather than one single macro cause: TaniFund did not meet minimum equity and ignored supervision; Investree faced fraud allegations [1][2][4]. The DPR parliamentary analysis added that the industry's main recurring problem was kredit macet and called for stronger fintech risk management and prudential lending [1].\n\nOJK's actions included repeated monitoring, warning letters, requiring action plans, administrative sanctions, and revocations. In all 2024 OJK imposed 661 sanctions on online-loan operators and issued four licence-revocation decisions [3][4]. It also replaced or refined the P2P regulatory framework with POJK 40/2024, which requires operators to show credit assessments and fund-use information, hold funder meetings and present funding risks [4].\n\nIndia\nThe Reserve Bank of India did not publish one headline fintech default rate comparable to Indonesia's TWP90. Instead its June 2024 Financial Stability Report warned that personal loans below Rs50,000 had high delinquency, and that NBFC-fintech lenders, which have the highest share of sanctioned and outstanding small-loan amounts, had the second-highest delinquency levels, below only small-finance banks [11][22]. RBI also said vintage delinquency in personal loans remained relatively high at 8.2%, more than half of borrowers had three live loans at origination, and more than a third had taken more than three loans in the previous six months [11][14][22]. One report added that 7.3% of customers with a personal loan under Rs50,000 had at least one overdue personal loan [23].\n\nAn industry association figure illustrates the sector's scale and risk: FACE said fintech loans reached Rs1,46,517 crore in FY24, up 49% year on year, with average ticket size Rs12,648, and its members' 90-day portfolio-at-risk improved to 3.5% from 3.6% a year earlier [14]. That is a company-reported measure, not an RBI NPA ratio.\n\nRBI's criticism of P2P platforms was sharp. After supervisory scrutiny, sources said some were operating like Ponzi schemes: lenders got assured returns and could be replaced by new lenders who could not see the loans they were taking over, while platforms earned a spread and acted like deposit-takers or banks without a licence. RBI also found high NPAs, large escrow balances, coercive recovery risk, exorbitant borrower rates, and non-compliance with net-owned-fund and disclosure rules [12]. Separately, RBI worried that fintech growth had not moderated enough after the November 2023 tightening of risk weights on unsecured loans [15].\n\nRBI's actions included raising risk weights on unsecured consumer credit in November 2023 [11][14]; privately telling fintechs to target about 15-20% growth rather than 30%-plus [15]; and in August 2024 tightening P2P regulations to ban credit risk-taking and credit enhancement and cap aggregate exposure at Rs50 lakh [12]. It also imposed a monetary penalty of Rs1,99,50,000 on LenDen Club for violating P2P directions and digital-lending guidelines, including failing to disclose borrower credit assessments, disbursing without lender approval, and using an improper escrow mechanism [13].\n\nChina\nChina's situation is structurally different because its P2P-lending sector was largely crushed after the mid-2018 registration requirements triggered a market meltdown [8]. The 2024 debate therefore centers on licensed micro lenders and online loan platforms rather than P2P marketplaces.\n\nChina's financial regulator NAFR did not give a single aggregate fintech NPL ratio in the material seen, but it explicitly said microlenders have a higher loan delinquency rate than banks and that some had shut down because of poor management [6]. In August 2024 NAFR released draft rules blaming microfinance companies for 'lax management', 'high credit risk', 'excessive marketing', 'improper debt collection', 'illegal fees' and the renting or lending of licences [6]. Its Q&amp;A said at end-2023 there were 6,550 microfinance companies with loan balances of Rmb843.1bn, including 179 online micro-lenders with Rmb173.9bn in loans, and that the sector had 'high credit risk' and other problems [16].\n\nAvailable company figures illustrate rising stress in online lending. Qifu Technology, the former 360 Finance/360 DigiTech, reported that 90-day-plus delinquencies on loans originated by partner financial institutions rose from 1.48% in 2020 to 2.35% in 2023 and 3.4% by 30 June 2024; management cited macroeconomic uncertainty and planned to stay cautious on risk [7]. Zhonghe Nongxin, a rural credit platform, reported 30-day and 90-day delinquency of 2.08% and 1.52% at mid-2024, with losses blamed partly on pandemic-era borrower difficulties and agricultural price volatility [19]. These are individual disclosures, not national fintech default rates.\n\nNAFR's main response was rule-making. The draft rules would cap online micro-loans at Rmb200,000 for consumption and Rmb10m for business; require loans overdue more than 90 days to be classified as non-performing; mandate risk provisions; require dedicated lending accounts; and set consumer-protection rules against excessive marketing, coercive collection, and misuse of personal information [6][16]. The final rules were issued on 31 December 2024 and retain the 90-day NPL classification and the online loan caps, with transition periods for compliance [18].\n\nComparison\nIndonesia provides the most direct fintech-default figure (aggregate TWP90 around 2.8-2.95% in 2024) and enforces a 5% platform threshold, while India reports segment-level stress rather than one all-fintech NPL ratio, and China reports no comparable national online-loan NPL rate. Indonesia's regulator focused on firm-level minimum capital, supervisory non-compliance and suspected fraud; India's RBI emphasized small-ticket consumer leverage, Ponzi-like P2P structures, and excessively rapid growth; China's NAFR blamed broad sector governance failures including lax management, high credit risk and abusive sales and collection practices [1][2][6][11][12][16].\n\nAll three regulators tightened rules, but in different ways. Indonesia issued POJK 40/2024 and revoked licences; India raised risk weights, capped P2P exposure, ordered slower growth and fined LenDen Club; China imposed loan-size caps, forced 90-day NPL recognition, and introduced transitional consumer-protection standards [3][4][12][13][15][18].\n\nUnsupported or thin areas: I could not obtain a uniform current non-performing-loan ratio for Chinese online lenders or microfinance companies; China's national numbers are mostly qualitative or company-level. India's 3.5% portfolio-at-risk is an industry association figure, not RBI's own delinquency measure, and RBI's segment warnings do not translate into one comparable 'fintech default rate'. For Indonesia, the figures are solid on TWP90 but the complaint and liquidation outcomes after the TaniFund and Investree revocations are only partially covered in the evidence gathered."}
Sources:
[1] Kredit Macet Fintech (P2P) Lending (IS KOM XI - MEI III 2024) - https://berkas.dpr.go.id/pusaka/files/isu_sepekan/Isu%20Sepekan---II-PUSLIT-Mei-2024-219.pdf
[2] Kredit Macet Segunung, OJK Pasang Mata ke 15 Pinjol P2P Lending Ini - https://www.cnbcindonesia.com/market/20240711142117-17-553753/kredit-macet-segunung-ojk-pasang-mata-ke-15-pinjol-p2p-lending-ini
[3] OJK: Ada 19 "Fintech Lending" Punya Kredit Macet Tinggi - https://money.kompas.com/read/2024/08/07/114310526/ojk-ada-19-fintech-lending-punya-kredit-macet-tinggi
[4] OJK Strengthens Supervision and Resolves Issues in the ... - https://ojk.go.id/en/berita-dan-kegiatan/siaran-pers/Pages/OJK-Strengthens-Supervision-and-Resolves-Issues-in-the-Fintech-Peer-to-Peer-Lending-Industry.aspx
[5] 15 Fintech Angka Kredit Macetnya Gak Wajar, Bos OJK Bilang Gini - https://www.cnbcindonesia.com/market/20240709135408-17-553023/15-fintech-angka-kredit-macetnya-gak-wajar-bos-ojk-bilang-gini
[6] China to keep up financial risk control campaign with draft rules for microlenders | South China Morning Post - https://www.scmp.com/economy/china-economy/article/3275981/china-keep-financial-risk-control-campaign-draft-rules-microlenders
[7] 奇富科技放贷逾期率连涨，周鸿祎退居幕后_腾讯新闻 - https://news.qq.com/rain/a/20240819A08J4800
[8] Market uncertainties and too-big-to-fail perception: Evidence from Chinese P2P registration requirements - https://ideas.repec.org/a/eee/intfin/v95y2024ics1042443124000982.html
[9] 放贷这块“唐僧肉”，互联网企业越来越难啃了-钛媒体官方网站 - https://www.tmtpost.com/7239683.html
[10] “困”在网贷里的那些年轻人：以贷养贷陷入恶性循环_智慧普法平台 - http://legalinfo.moj.gov.cn/zhfxfzzx/fzzxyw/202407/t20240702_501557.html
[11] Fintech lenders have high delinquency levels in small value loans says RBI - The Economic Times - https://economictimes.indiatimes.com/industry/banking/finance/banking/fintech-lenders-have-high-delinquency-levels-in-small-value-loans-says-rbi/articleshow/111315483.cms
[12] Ponzi like model of P2P lenders prompt crackdown, RBI finds high NPA | Economy &amp; Policy News - Business Standard - https://www.business-standard.com/economy/news/ponzi-like-model-of-p2p-lenders-prompt-crackdown-rbi-found-high-npa-124082101262_1.html
[13] Press Releases | Official Website of Reserve Bank of India - https://www.rbi.org.in/scripts/BS_PressReleaseDisplay.aspx?prid=58562
[14] Fintechs' lending biz is growing but industry must mind the warning signals - https://www.business-standard.com/finance/news/fintechs-lending-biz-is-growing-but-industry-must-mind-the-warning-signals-124071400645_1.html
[15] RBI asks fintechs not to pursue blistering growth - The HinduBusinessLine - https://www.thehindubusinessline.com/money-and-banking/rbi-asks-fintechs-not-to-pursue-blistering-growth/article68142463.ece
[16] 金融监管总局：拟规定小额贷款公司应当将逾期90天及以上的贷款划分为不良贷款_新浪财经_新浪网 - https://finance.sina.com.cn/roll/2024-08-23/doc-inckrtua2689988.shtml
[17] 中国小额贷款公司协会 —
 政策法规 - http://www.china-cmca.org/zcfg/zy/
[18] 金融监管总局关于印发《小额贷款公司监督管理暂行办法》的通知　　小额贷款公司监督管理暂行办法__2025年第8号国务院公报_中国政府网 - https://www.gov.cn/gongbao/2025/issue_11926/202503/content_7013993.html
[19] 女性借款人占比超65%，这家“另类”农村助贷平台二次递表港交所|界面新闻 - https://www.jiemian.com/article/11781095.html
[20] (untitled) - https://rbidocs.rbi.org.in/rdocs/PublicationReport/Pdfs/0FSRJUN2024_270620242B95CB128D1847A3ACAB5B5A4BEBF0DF.PDF
[21] Financial Stability Report - FIDC India - https://www.fidcindia.org.in/wp-content/uploads/2019/06/RBI_FSR_JUNE_2024_27_06_24.pdf
[22] RBI red flags NBFC consumer credit, calls for close monitoring of a few | Finance News - Business Standard - https://www.business-standard.com/finance/news/rbi-red-flags-nbfc-consumer-credit-calls-for-close-monitoring-of-a-few-124062701063_1.html
[23] Small and worrying: Loans under Rs 50K are on Reserve Bank of India's radar | Finance News - Business Standard - https://www.business-standard.com/finance/news/small-and-worrying-loans-under-rs-50k-are-on-reserve-bank-of-india-s-radar-124072800579_1.html</t>
        </is>
      </c>
    </row>
    <row r="17" ht="150" customHeight="1">
      <c r="A17" s="14" t="inlineStr">
        <is>
          <t>debate-ai-credit</t>
        </is>
      </c>
      <c r="B17" s="14" t="inlineStr">
        <is>
          <t>Judgement (debate)</t>
        </is>
      </c>
      <c r="C17" s="15" t="inlineStr">
        <is>
          <t>Should banks use AI models to approve or reject consumer loans?</t>
        </is>
      </c>
      <c r="D17" s="15" t="n">
        <v>3</v>
      </c>
      <c r="E17" s="15" t="inlineStr">
        <is>
          <t>Provides multiple cited benefits and risks, directly engages the fairness/bias counterargument, and reaches a clear conditional verdict supported by the evidence.</t>
        </is>
      </c>
      <c r="F17" s="15" t="inlineStr">
        <is>
          <t>The evidence points to a conditional answer: banks can use AI models in consumer loan approvals and rejections if they are surrounded by strong governance, fairness testing, explainability, and human oversight, but not as an ungoverned black box.
On the benefits side, AI and machine-learning underwriting can improve efficiency, reduce costs, and make credit decisions more accurate by identifying patterns that traditional models miss, potentially expanding credit access or lowering its cost [1][2][3][4]. Algorithmic credit scoring can draw on wider data such as real-time transactions and behavioral indicators, helping lenders look beyond balance sheets and traditional credit files [3][4]. Some banks already use AI credit decision models in credit card and auto loan portfolios, and reports indicate this can improve risk profiling, lower default rates, and expand access for borrowers who might not qualify under conventional methods [4]. There is also a competitive risk to not adopting AI, including reduced efficiency and weaker capacity to manage certain risks [4].
On the risk side, the most serious concern is fair lending and bias. ML models trained on historical credit data can reproduce past discrimination based on race, gender, or other protected characteristics, and alternative data can serve as proxies for protected classes [1][3][4]. The Equal Credit Opportunity Act prohibits discrimination in credit, but there are unresolved questions about how lenders can ensure compliance when using complex ML models [1]. Biased outcomes can also become self-reinforcing over time [4]. A second major risk is explainability: lenders must provide adverse action notices explaining denials, but black-box models may make it difficult to explain why a consumer was rejected [1][3]. The CFPB has clarified that lenders using complex algorithms still must comply with adverse action notice requirements [1]. Dynamic updating of models without oversight can create further compliance and performance risks [1].
Other risks include poor data quality, model risk, privacy concerns, cybersecurity threats, and reliance on third parties [2][4]. Consumers may be unaware of or powerless to challenge algorithmic decisions, and regulators often lack the technical capacity or access to proprietary algorithms to police them [3].
Given these tradeoffs, the stronger position is not an outright yes or no. The evidence supports using AI in consumer loan underwriting only with safeguards such as anti-discrimination constraints, independent audits, transparency about automated decisions, and a right to human review rather than solely automated processing [3][4]. This is consistent with the fact that some banks, especially highly regulated institutions, choose not to use ML for consumer credit decisions precisely because of regulatory uncertainty and compliance risk [1]. The sources do not provide a direct quantitative comparison of overall consumer outcomes, so the judgment rests on documented benefits and documented legal and consumer-protection risks, which are substantial enough to require caution.
Sources:
[1] Automation, Artificial Intelligence, and Machine Learning in Consumer Lending | Congress.gov | Library of Congress - https://www.congress.gov/crs-product/IF12399
[2] GAO-25-107197, Accessible Version, ARTIFICIAL INTELLIGENCE: Use and Oversight in Financial Services - https://www.gao.gov/assets/880/879572.pdf
[3] Screening and approving the customer | Digital Finance Inclusion - https://digitalfinance.worldbank.org/topics/digital-credit/screening-and-approving-customer
[4] Sound Practices for Responsible Adoption of Artificial Intelligence (AI) - https://www.fsb.org/uploads/P151026-1.pdf
[5] Regulating AI in the financial sector: recent developments and main challenges - https://www.bis.org/publications/fsi-insight-63-regulating-ai-financial-sector-recent-developments-and-main-challenges.pdf</t>
        </is>
      </c>
    </row>
    <row r="18" ht="150" customHeight="1">
      <c r="A18" s="14" t="inlineStr">
        <is>
          <t>debate-paylater</t>
        </is>
      </c>
      <c r="B18" s="14" t="inlineStr">
        <is>
          <t>Judgement (debate)</t>
        </is>
      </c>
      <c r="C18" s="15" t="inlineStr">
        <is>
          <t>Should Indonesia restrict buy-now-pay-later (paylater) services for young borrowers?</t>
        </is>
      </c>
      <c r="D18" s="15" t="n">
        <v>2</v>
      </c>
      <c r="E18" s="15" t="inlineStr">
        <is>
          <t>The answer provides strong, well-cited evidence for restricting paylater (debt/default figures, youth demographics, financial literacy, OJK rules) and at least one real counterpoint on credit access, but it lacks a second substantive sourced point against restriction and admits the downside case is unsupported rather than engaging the strongest counterargument.</t>
        </is>
      </c>
      <c r="F18" s="15" t="inlineStr">
        <is>
          <t>{"action":"answer","text":"Yes, the evidence gathered supports Indonesia restricting paylater for young borrowers, though the current rules should be seen as a floor rather than a complete solution.\n\nIndonesia has already moved in this direction. OJK issued POJK 32/2025 on BNPL to provide legal certainty, strengthen governance and protect consumers [1][2][5]. The planned eligibility restriction for financing-company BNPL requires borrowers to be at least 18 or married and have monthly income of at least Rp3 million, effective for new borrowers and renewals by January 1, 2027 [3][4][11].\n\nThe case for restriction is strong on the evidence. Paylater debt has grown rapidly: Tempo reported total paylater debt reached Rp29.59 trillion by April 2025, split between banks and financing companies [6], while Pefindo put BNPL lending at Rp37.42 trillion with about 50.76 million accounts [8]. Young borrowers dominate: millennials and Gen Z made up 48.27% and 39.94% of users in one report [6], and over 70% of BNPL users were reportedly aged 18–35 [10]. The 20–30 age group alone accounted for 38.73% of users [8].\n\nThere is also evidence of rising repayment problems. Non-performing loans for paylater rose from 3.48% to 3.78% in one 2025 report [6], and non-performing financing for financing-company BNPL was recorded at 3.74% [7]. This sits alongside Indonesia’s low financial literacy score of 38.03% [15] and evidence that young users often borrow for consumptive items such as fashion, travel and e-commerce purchases [9][22][24]. Reports describe debt traps, social-media-driven spending, and cases where small unpaid BNPL balances have harmed young people’s SLIK credit records, affecting job applications and access to mortgages [17][25].\n\nIndustry response has been notably supportive. Kredivo, LinkAja and Indodana Finance said they support the new limits, and several providers said they already apply the age-18 and Rp3 million minimum income criteria [12][13][14]. OJK has defended the rules as protecting young people from debt they cannot repay, while also mitigating risk for lenders [11][27].\n\nThe main caveat is that restriction is not the same as adequate protection. Analysts and providers note that age and income minimums alone may not stop over-borrowing if credit limits, algorithmic scoring, fees and marketing remain lightly controlled [10][21][23][26]. Some critics argue the limits do not go far enough and suggest raising the minimum age to 24 or 25 [10]. Others emphasise that BNPL has also expanded financial access for underserved consumers, so restrictions should be balanced with responsible-inclusion measures [21][24].\n\nWhat remains unsupported in the material gathered is the downside case against restricting young borrowers. I found little direct evidence on whether the new limits would meaningfully reduce over-indebtedness, how many users would be excluded, or whether excluded borrowers would shift to illegal online lenders. Those risks are plausible and are mentioned indirectly in discussions of illegal pinjol [17][25], but the gathered sources do not establish a strong causal link.\n\nOverall, the evidence justifies a targeted restriction: young Indonesians are overrepresented among BNPL users, borrowing is often consumptive, financial literacy is low, and delinquency is rising. But the restriction should be accompanied by stronger credit assessment, marketing oversight, fee transparency, financial education and monitoring for displacement to illegal lending."}
Sources:
[1] Menimbang : a. bahwa untuk mendukung terciptanya ekosistem pembiayaan digital di sektor keuangan yang andal, diperlukan pengaturan yang bertujuan memberikan kepastian hukum, memperkuat tata kelola, serta melindungi kepentingan konsumen dan stabilitas sektor jasa keuangan; b. bahwa dalam menyelenggarakan model bisnis beli sekarang bayar nanti (buy now pay later) memerlukan pengaturan agar penyelenggaraannya sejalan dengan prinsip kehati-hatian, tata kelola yang baik, serta mendukung pertumbuhan industri jasa keuangan yang sehat dan berkelanjutan; c. bahwa berdasarkan pertimbangan sebagaimana dimaksud dalam huruf a dan huruf b, perlu menetapkan Peraturan Otoritas Jasa Keuangan tentang Penyelenggaraan Beli Sekarang Bayar Nanti (Buy Now Pay Later); - https://ojk.go.id/id/regulasi/Documents/Pages/POJK-32-Tahun-2025-Penyelenggaraan-Beli-Sekarang-Bayar-Nanti-BNPL/POJK%2032%20Tahun%202025%20Penyelenggaraan%20Beli%20Sekarang%20Bayar%20Nanti%20BNPL.pdf
[2] PERATURAN OTORITAS JASA KEUANGAN REPUBLIK INDONESIA NOMOR 32 TAHUN 2025 TENTANG PENYELENGGARAAN BELI SEKARANG BAYAR NANTI (BUY NOW PAY LATER) - https://peraturan.bpk.go.id/Download/410988/POJK%2032%20Tahun%202025.pdf
[3] Siaran Pers: Penyesuaian Batasan Manfaat Ekonomi Serta Penguatan Pengaturan Pinjaman Daring dan Skema Buy Now Pay Later Bagi Perusahaan Pembiayaan - https://ojk.go.id/id/berita-dan-kegiatan/siaran-pers/Pages/LPBBTI-dan-BNPL.aspx
[4] SIARAN PERS PENYESUAIAN BATASAN MANFAAT EKONOMI SERTA PENGUATAN PENGATURAN PINJAMAN DARING DAN SKEMA BUY NOW PAY LATER BAGI PERUSAHAAN PEMBIAYAAN Ketentuan Batasan Manfaat Ekonomi LPBBTI - https://ojk.go.id/id/berita-dan-kegiatan/siaran-pers/Documents/Pages/LPBBTI-dan-BNPL/SP%20214%20-%20LPBBTI%20dan%20BNPL.pdf
[5] SP 230/GKPB/OJK/XII/2025 - https://ojk.go.id/id/berita-dan-kegiatan/siaran-pers/Documents/Pages/OJK-Terbitkan-Aturan-Penyelenggaraan-Buy-Now-Pay-Later/SP%20230%20OJK%20Terbitkan%20Aturan%20Penyelenggaraan%20Buy%20Now%20Pay%20Later.pdf
[6] Millennials and Gen Z Drive Indonesia's Rp29.59 Trillion Paylater Debt - News En.tempo.co - https://en.tempo.co/read/2014263/millennials-and-gen-z-drive-indonesias-rp29-59-trillion-paylater-debt
[7] OJK Catat Pay Later Tembus Rp21,89 T per Mei, Generasi Muda Paling Banyak Pinjam - Fintech Katadata.co.id - https://katadata.co.id/digital/fintech/686ce4029195f/ojk-catat-pay-later-tembus-rp21-89-t-per-mei-generasi-muda-paling-banyak-pinjam
[8] Warga Jawa Barat Juara 1 Utang Pay Later - https://www.cnbcindonesia.com/market/20250620153211-17-642635/warga-jawa-barat-juara-1-utang-pay-later
[9] Gen Z dan Milenial Pakai Paylater untuk Kebutuhan Konsumtif - https://www.kompas.id/artikel/gen-z-dan-milenial-pakai-paylater-untuk-konsumtif-bukan-produktif
[10] Buy Now, Cry Later Rose Indonesia BNPL Debt to USD $1.8 Billion - https://fintechnews.id/107698/lending/indonesia-buy-now-pay-later-debt/
[11] Mengapa OJK Batasi Usia dan Penghasilan untuk Pengguna "Paylater"? - https://money.kompas.com/read/2025/01/21/162000426/mengapa-ojk-batasi-usia-dan-penghasilan-untuk-pengguna-paylater-
[12] OJK Rilis Ketentuan Baru Terkait Pembatasan Pengguna, Ini Kata Kredivo - https://keuangan.kontan.co.id/news/ojk-rilis-ketentuan-baru-terkait-pembatasan-pengguna-ini-kata-kredivo
[13] Ini Alasan LinkAja Dukung Pembatasan Usia dan Pendapatan Pengguna Paylater - https://finansial.bisnis.com/read/20250105/563/1828943/ini-alasan-linkaja-dukung-pembatasan-usia-dan-pendapatan-pengguna-paylater
[14] Indodana Finance Beri Respons soal Pembatasan Usia dan Pendapatan Pengguna Paylater - https://finansial.bisnis.com/read/20250105/563/1828940/indodana-finance-beri-respons-soal-pembatasan-usia-dan-pendapatan-pengguna-paylater
[15] In Indonesia, ‘pay later’ services leave some drowning in debt | Debt News | Al Jazeera - https://www.aljazeera.com/economy/2022/6/28/for-indonesias-poor-pay-later-services-exact-heavy-price
[16] Fintech for Financial Inclusion - World Bank Document - https://documents1.worldbank.org/curated/en/274411623309033336/pdf/Indonesia-Promoting-Financial-Access-and-Inclusion-Fintech-for-Financial-Inclusion-Deep-Dive-Study.pdf
[17] (untitled) - https://berkas.dpr.go.id/pusaka/files/info_singkat/Info%20Singkat-XV-16-II-P3DI-Agustus-2023-163-EN.pdf
[18] URGENSI PENGATURAN LAYANAN PAYLATER DALAM EKOSISTEM PERBANKAN DIGITAL TERHADAP STABILITAS PERBANKAN KONVENSIONAL DI INDONESIA - https://ejournal.uika-bogor.ac.id/index.php/YUSTISI/article/download/23871/8668
[19] Pengguna ‘paylater’ meningkat: pentingnya regulasi dan ‘responsible lending’ - https://theconversation.com/pengguna-paylater-meningkat-pentingnya-regulasi-dan-responsible-lending-242021
[20] Indonesia’s soaring ‘buy now, pay later’ debts fuel calls for tighter rules | South China Morning Post - https://www.scmp.com/week-asia/economics/article/3297825/indonesias-soaring-buy-now-pay-later-debts-fuel-calls-tighter-rules
[21] Regulatory Gaps in Buy Now Pay Later Consumer Protection - https://jurnal.unissula.ac.id/index.php/ldj/article/download/52650/16176
[22] Jebakan keuangan digital: mengapa Gen Z rentan terjerat pinjol dan ‘paylater’? - https://theconversation.com/jebakan-keuangan-digital-mengapa-gen-z-rentan-terjerat-pinjol-dan-paylater-253238
[23] A Look at OJK's New Regulation on Buy Now Pay Later ... - https://www.abnrlaw.com/en/news/from-rapid-growth-to-institutional-maturity-a-look-at-ojks-new-regulation-on-buy-now-pay-later-bnpl
[24] OJK Beberkan Alasan Anak Muda RI Doyan Ngutang di Pinjol-Paylater - https://finance.detik.com/fintech/d-7635387/ojk-beberkan-alasan-anak-muda-ri-doyan-ngutang-di-pinjol-paylater
[25] OJK Catat Pay Later dan Pinjol Penyebab Anak Muda Sulit Dapat Kerja Hingga KPR - https://finansial.bisnis.com/read/20240122/55/1734337/ojk-catat-pay-later-dan-pinjol-penyebab-anak-muda-sulit-dapat-kerja-hingga-kpr
[26] Lembaga Penelitian Dan Pengabdian Masyarakat - Universitas Dr. Soetomo - https://lemlit.unitomo.ac.id/berita/single/tim-peneliti-fundamental-unitomo-rancang-perlindungan-hukum-remaja-pengguna-paylater
[27] Mengapa OJK Batasi Usia dan Penghasilan untuk Pengguna "Paylater"? - https://money.kompas.com/copy/2025/01/21/162000426/mengapa-ojk-batasi-usia-dan-penghasilan-untuk-pengguna-paylater-</t>
        </is>
      </c>
    </row>
    <row r="19" ht="150" customHeight="1">
      <c r="A19" s="14" t="inlineStr">
        <is>
          <t>debate-junior-devs</t>
        </is>
      </c>
      <c r="B19" s="14" t="inlineStr">
        <is>
          <t>Judgement (debate)</t>
        </is>
      </c>
      <c r="C19" s="15" t="inlineStr">
        <is>
          <t>Is it a good idea for companies to replace junior software developers with AI coding agents?</t>
        </is>
      </c>
      <c r="D19" s="15" t="n">
        <v>3</v>
      </c>
      <c r="E19" s="15" t="inlineStr">
        <is>
          <t>The answer provides cited evidence on both sides, addresses the strongest counterarguments about process redesign and continued junior hiring, and ends with a clear, evidence-weighed verdict against blanket replacement.</t>
        </is>
      </c>
      <c r="F19" s="15" t="inlineStr">
        <is>
          <t>Short answer: the evidence gathered here suggests that outright replacing junior developers with AI coding agents is a risky strategy for most companies, even though some firms are reducing junior hiring and using AI for routine coding. A more defensible approach is supervised augmentation and process redesign, with senior engineers overseeing AI and clear entry-level pathways retained.
Why companies are tempted: Code generation is one of the few areas where boards see visible AI payoff. Reuters reports that companies are using AI to aid, and sometimes replace, expensive human software engineers [6]. Australian software firm ReadyTech told Jobs and Skills Australia that it now hires fewer entry-level engineers, said Copilot improved efficiency by more than 25 per cent, and said a strong Australian senior could outperform multiple offshore resources [7]. A Resume.org survey cited by CIO found four in 10 companies plan to replace workers with AI by 2026 [8]. Goldman Sachs is deploying the Devin coding agent by the hundreds, possibly thousands, inside its workforce of nearly 12,000 software engineers [9]. Replit CEO Amjad Masad claimed companies may be months away from building and operating software without an engineering team, though he also said they are not there yet [10]. Y Combinator said 25 per cent of its winter startup class generated nearly all their code with AI tools [10].
Why replacement is risky: The productivity gains from basic AI coding assistants are often modest in real workflows. Bain found teams using AI assistants see 10 to 15 per cent productivity boosts, but time saved is often not redirected to higher-value work [3]. Coding and testing account for only about 25 to 35 per cent of the product life cycle, so faster coding does not automatically speed delivery [3]. The higher 55 per cent productivity figure comes from controlled studies, not messy brownfield or legacy environments [1]. Research and interviews warn that AI-generated code compounds technical debt when deployed by inexperienced developers into existing systems, risking slower development, security vulnerabilities, and system failures [1]. NPR reports concern that replacing junior coders cuts off the long-term talent supply needed to supervise the machines [2]. CIO argues that overreliance on large language models is especially harmful for juniors because it disconnects them from problem-solving, professional growth, and job satisfaction [4]. IT Pro notes lingering risks including buggy output, company standards, security, and privacy [5].
The more balanced view: The strongest cases for AI in software development are not about deleting junior roles but about redesigning the entire development process. Bain says leading adopters apply AI beyond code completion, speed up review, integration, testing, and release, and measure whether saved time becomes business results [3]. Experts cited by CIO describe the developer role shifting toward validating AI output, checking edge cases and security risks, and retaining senior engineers for architecture, compliance, and business judgment [8]. Even ReadyTech, despite cutting entry-level engineering roles, says it would be unacceptable never to offer entry-level roles and maintains an entry path through its customer support team [7]. Goldman Sachs continues to hire software engineers, including associate-level roles, while piloting Devin [9].
Bottom line: As a blanket strategy, replacing junior developers with AI coding agents does not look like a good idea on the current evidence. The vendors and some company announcements make strong claims [9][10], but independent and consulting analyses are more cautious about real-world returns, technical debt, and the talent pipeline [1][3][4][8]. A company might reasonably reduce boilerplate-heavy junior hiring and retrain junior staff as AI overseers, but only if it also manages technical debt, has senior oversight, and creates alternative paths for developing future senior engineers.
Sources:
[1] The Hidden Costs of Coding With Generative AI - https://sloanreview.mit.edu/article/the-hidden-costs-of-coding-with-generative-ai/
[2] Does AI actually make coding more efficient? : NPR - https://www.npr.org/2025/10/21/nx-s1-5506141/ai-code-software-productivity-claims
[3] From Pilots to Payoff: Generative AI in Software Development | Bain &amp; Company - https://www.bain.com/insights/from-pilots-to-payoff-generative-ai-in-software-development-technology-report-2025/
[4] Is AI eradicating the junior developer? | CIO - https://www.cio.com/article/4120168/is-ai-eradicating-the-junior-developer.html
[5] The pros and cons of AI coding in the IT industry | IT Pro - https://www.itpro.com/technology/artificial-intelligence/the-pros-and-cons-of-ai-coding-in-the-it-industry
[6] AI startups revolutionize coding industry, leading to sky-high valuations - https://www.reuters.com/business/ai-vibe-coding-startups-burst-onto-scene-with-sky-high-valuations-2025-06-03/
[7] 'We hire fewer entry-level engineers': Aussie firms on AI impact | Information Age | ACS - https://ia.acs.org.au/article/2025/-we-hire-fewer-entry-level-engineers---aussie-firms-on-ai-impact.html
[8] Demand for junior developers softens as AI takes over | CIO - https://www.cio.com/article/4062024/demand-for-junior-developers-softens-as-ai-takes-over.html
[9] Goldman Sachs doesn't have to hire a $180,000 software engineer—meet Devin, its new AI-powered worker | Fortune - https://fortune.com/2025/07/14/goldman-sachs-ai-powered-software-engineer-devin-new-employee-increase-productivity-fears-of-job-replacement/
[10] AI coding startup Replit CEO Amjad Masad says companies soon won’t need software developers | Semafor - https://www.semafor.com/article/05/21/2025/ai-coding-startup-replit-ceo-amjad-masad-says-companies-soon-wont-need-software-developers</t>
        </is>
      </c>
    </row>
    <row r="20" ht="150" customHeight="1">
      <c r="A20" s="14" t="inlineStr">
        <is>
          <t>debate-multi-agent</t>
        </is>
      </c>
      <c r="B20" s="14" t="inlineStr">
        <is>
          <t>Judgement (debate)</t>
        </is>
      </c>
      <c r="C20" s="15" t="inlineStr">
        <is>
          <t>Is a multi-agent architecture worth it over a single agent for LLM research tasks?</t>
        </is>
      </c>
      <c r="D20" s="15" t="n">
        <v>3</v>
      </c>
      <c r="E20" s="15" t="inlineStr">
        <is>
          <t>The answer supplies multiple cited points for and against multi-agent systems, addresses the pro-MAS counterargument directly, and ends with a clear conditional verdict.</t>
        </is>
      </c>
      <c r="F20" s="15" t="inlineStr">
        <is>
          <t>The evidence does not support an unconditional yes. A multi-agent architecture (MAS) is worth it over a single agent for LLM research tasks only under specific conditions; in many current settings, a well-prompted single agent is comparable at lower cost and complexity.
Several empirical studies find that the MAS advantage is narrowing or conditional. One extensive comparison reports that the benefits of multi-agent systems over single-agent systems diminish as frontier LLMs improve in long-context reasoning, memory, and tool use, while MAS still carries higher design complexity and runtime cost [1]. A reasoning-focused study found that a single agent with a strong prompt can achieve nearly the same performance as the best multi-agent discussion approach across a range of reasoning tasks and models [3]. In that work, multi-agent discussion outperformed a single agent mainly when prompts lacked demonstrations; with sufficiently robust prompts and demonstrations, single agents matched MAS [3]. A broader evaluation of reasoning paradigms likewise found that increased structural complexity does not consistently improve reasoning, and that some MAS workflows impose prohibitive cost for only marginal accuracy gains [5].
For research tasks specifically, the picture is more nuanced. A systematic review of LLM-based multi-agent research systems found that role-specialised pipelines are the most common architecture, and that literature synthesis and idea generation are the best-supported research stages, while experimentation, analysis, and writing are less covered and validation is concentrated on machine-learning problems [2]. The same review found that current research agents accomplish only a small fraction of typical research-engineering tasks, and that many failures come from specification, coordination, and verification issues rather than from the agents being unable to do the underlying task [2]. A pro-MAS analysis argues that multi-agent designs offer distinctive advantages across the scientific workflow, such as better cross-domain retrieval, parallel evidence validation, more diverse hypothesis exploration, and distributed critique [4]. However, those claimed advantages are partly presented as architectural arguments and are not uniformly confirmed by the more direct single-vs-multi-agent evaluations [1][3][5].
A practical conclusion is that MAS is most likely to be worth it when: the task is open-ended literature review or hypothesis generation; demonstrations or strong prior prompts are unavailable; multiple heterogeneous models are involved and stronger agents can aid weaker ones; or the work benefits from parallel adversarial checking and diverse perspectives [2][3][4]. A single-agent system is likely sufficient, and cheaper, when using a capable frontier model with a strong prompt, demonstrations, and a well-scoped task [1][3][5]. Where both capability and efficiency matter, hybrid cascading between single-agent and multi-agent paths has been shown to improve accuracy by 1.1–12% while reducing deployment cost by up to 20%, which may be the most defensible choice for many research workflows [1].
Sources:
[1] Single-agent or Multi-agent Systems? Why Not Both? - https://doi.org/10.48550/arxiv.2505.18286
[2] LLM-Based Multi-Agent Systems for Automated Research: A Systematic Review of Architectures, Capabilities, and Evaluation Practices - https://doi.org/10.5281/zenodo.23463652
[3] Rethinking the Bounds of LLM Reasoning: Are Multi-Agent Discussions the Key? - https://doi.org/10.48550/arxiv.2402.18272
[4] Collective Intelligence: On the Promise and Reality of Multi-Agent Systems for AI-Driven Scientific Discovery - https://doi.org/10.20944/preprints202508.1640.v3
[5] A Comprehensive Evaluation of LLM Reasoning: From Single-Model to Multi-Agent Paradigms - http://arxiv.org/abs/2601.13243</t>
        </is>
      </c>
    </row>
    <row r="21" ht="150" customHeight="1">
      <c r="A21" s="14" t="inlineStr">
        <is>
          <t>debate-nuclear-id</t>
        </is>
      </c>
      <c r="B21" s="14" t="inlineStr">
        <is>
          <t>Judgement (debate)</t>
        </is>
      </c>
      <c r="C21" s="15" t="inlineStr">
        <is>
          <t>Should Indonesia build nuclear power plants as part of its energy transition?</t>
        </is>
      </c>
      <c r="D21" s="15" t="n">
        <v>3</v>
      </c>
      <c r="E21" s="15" t="inlineStr">
        <is>
          <t>The answer supplies multiple cited points on both sides (low-carbon baseload, system-cost savings, uranium/SMR potential versus seismic risk, public acceptance, institutional readiness, and SMR cost uncertainty), engages the safety-cost-governance objections by conditioning its verdict on strict safeguards and piloting, and ends with a clear, evidence-based conditional yes.</t>
        </is>
      </c>
      <c r="F21" s="15" t="inlineStr">
        <is>
          <t>A cautious, conditional yes is better supported by the evidence than a flat yes or no. Indonesia could use nuclear as a firm, low-carbon complement to renewables, but only if it proceeds as small, carefully regulated pilot projects with much stronger institutional and public preparation than currently exists.
Indonesia currently has no operating nuclear capacity: installed power capacity is more than 90 GW, over half coal-fired and less than 15% renewables [2]. The official RUPTL 2025–2034 introduces nuclear through two 250 MW small reactors in Sumatra and Kalimantan [3][4], while presidential advisers have floated larger ambitions of about 4.3 GW and 10 GW by 2040 [1][2]. But the same plan still adds 16.6 GW of coal and gas, downgrades renewable targets, and has no coal retirement schedule, so nuclear is a marginal 500 MW element rather than a decisive transition tool [5].
The strongest case for building is that nuclear offers low-carbon baseload power. Life-cycle emissions are estimated at roughly 3.5–12 gCO2eq/kWh [13], and modelling of emerging economies including Indonesia finds that adding nuclear to renewables can cut total system costs by 2–31% by reducing the need to overbuild solar, wind, storage and transmission [14]. Indonesia also has identified uranium resources in West Kalimantan [4], and some small modular reactor designs may eventually have levelized costs competitive with local Indonesian grids, especially remote systems [15]. The government views SMRs as flexible, safer and potentially cost-effective for Indonesia [4].
The risks and objections are serious. Indonesia lies on the seismically active Pacific Ring of Fire, and nuclear proposals have long faced safety concerns about earthquakes, tsunamis and volcanoes [6][9][10]. Civil society groups such as WALHI argue nuclear is dangerous, expensive and unnecessary given renewable alternatives [9][10]. Public acceptance has been unstable: a 2005 poll found only 33% support, a post-Fukushima 2011 poll found about two-thirds opposed, while BATAN later reported 60.4% agreement [8]. Institutional readiness is also weak: the Nuclear Energy Program Implementation Organization has not been established, Bappenas says Indonesia still has not met three preparatory requirements, and nuclear power has been discussed for about 20 years without implementation [4]. SMR technology also remains uncertain; several designs once expected to be available by 2015 had not been built by 2016, and SMR costs and political commitment remain challenges [8][15].
On balance, Indonesia should not make nuclear the centerpiece of its near-term transition. The better-supported path is to accelerate renewables, storage and grid investment while retiring coal [5], and in parallel run a small, strictly supervised SMR pilot with robust seismic siting, regulatory reform and public consultation [3][4][10]. Under those conditions, nuclear could become a useful niche contributor to energy security and deep decarbonization. Without them, the safety, cost and governance risks outweigh the benefits.
Sources:
[1] Indonesia plans 10 GW nuclear power in major renewable energy push, presidential aide says - https://www.reuters.com/sustainability/cop/indonesia-plans-10-gw-nuclear-power-major-renewable-energy-push-presidential-2025-05-01/
[2] Indonesia plans new nuclear power plants with 4.3 GW capacity in bid for cleaner energy - https://www.reuters.com/business/energy/indonesia-plans-new-nuclear-power-plants-with-43-gw-capacity-bid-cleaner-energy-2025-01-31/
[3] Kementerian ESDM RI - Media Center - News Archives - Menteri ESDM Umumkan RUPTL PLN 2025–2034, Serap Lebih dari 1,7 Juta Tenaga Kerja Baru - https://www.esdm.go.id/en/media-center/news-archives/menteri-esdm-umumkan-ruptl-pln-2025-2034-serap-lebih-dari-17-juta-tenaga-kerja-baru
[4] Nuclear power plants integral to Indonesia's energy plans - ANTARA News - https://en.antaranews.com/news/365937/nuclear-power-plants-integral-to-indonesias-energy-plans
[5] Indonesia's RUPTL outlines faster growth in fossil fuel use, downgrades ambition for clean energy – Centre for Research on Energy and Clean Air - https://energyandcleanair.org/publication/indonesias-ruptl-outlines-faster-growth-in-fossil-fuel-use-downgrades-ambition-for-clean-energy/
[6] Nuclear Power, Risk Management and Democratic Accountability in Indonesia: Volcanic, regulatory and financial risk in the Muria peninsula nuclear power proposal | Asia-Pacific Journal | Cambridge Core - https://www.cambridge.org/core/journals/asia-pacific-journal/article/nuclear-power-risk-management-and-democratic-accountability-in-indonesia-volcanic-regulatory-and-financial-risk-in-the-muria-peninsula-nuclear-power-proposal/FFBC3F8EEE389E93F05D24D99F44A5F9
[7] INDONESIA NATIONAL REPORT - https://www.iaea.org/sites/default/files/24/01/9th_rm_national_report_cns_indonesia.pdf
[8] Prospects and Challenges of Nuclear Power and Small Modular Reactors in Indonesia - https://hdl.handle.net/11343/159097
[9] Earthquake-prone Indonesia considers nuclear power plan as 29 possible plant sites revealed - ABC News - https://www.abc.net.au/news/2024-12-27/earthquake-prone-indonesia-plans-for-nuclear-power/104758008
[10] Indonesia civil society groups raise concerns over proposed Borneo nuclear reactor - https://news.mongabay.com/2024/05/indonesia-civil-society-groups-raise-concerns-over-proposed-borneo-nuclear-reactor/
[11] Menghitung untung rugi energi nuklir bagi Indonesia - https://theconversation.com/menghitung-untung-rugi-energi-nuklir-bagi-indonesia-251837
[12] Policies toward net-zero: Benchmarking the economic competitiveness of nuclear against wind and solar energy - https://www.sciencedirect.com/science/article/abs/pii/S0306261922006328
[13] Prospects for nuclear power plant development in Indonesia: A DPSIR framework analysis for sustainable energy transition, economic implications, and environmental considerations - https://doi.org/10.61511/jbkl.v2i2.2025.1498
[14] How Nuclear Power Can Reduce the Cost of Clean Energy Abundance in Emerging Economies | RF - https://www.rockefellerfoundation.org/perspective/how-nuclear-power-can-reduce-the-cost-of-clean-energy-abundance-in-emerging-economies/
[15] Nuclear Power Plant to Support Indonesia’s Net Zero Emissions: A Case Study of Small Modular Reactor Technology Selection Using Technology Readiness Level and Levelized Cost of Electricity Comparing Method - https://www.mdpi.com/1996-1073/16/9/3752</t>
        </is>
      </c>
    </row>
    <row r="22" ht="150" customHeight="1">
      <c r="A22" s="14" t="inlineStr">
        <is>
          <t>sources-deepfake</t>
        </is>
      </c>
      <c r="B22" s="14" t="inlineStr">
        <is>
          <t>News + papers</t>
        </is>
      </c>
      <c r="C22" s="15" t="inlineStr">
        <is>
          <t>What does recent research say about how well deepfake detectors catch face-swap attacks in identity verification, and have banks or regulators reported real deepfake fraud cases?</t>
        </is>
      </c>
      <c r="D22" s="15" t="n">
        <v>3</v>
      </c>
      <c r="E22" s="15" t="inlineStr">
        <is>
          <t>The answer cites specific research findings on detection accuracy and generalization, and separately cites FinCEN and multiple reported bank deepfake fraud cases, fully meeting both sides of the criterion.</t>
        </is>
      </c>
      <c r="F22" s="15" t="inlineStr">
        <is>
          <t>Recent research is broadly skeptical about how well deepfake detectors catch face-swap attacks in identity verification. One study using real-world face-swap data collected from online platforms found that state-of-the-art detectors fell to near-random-guessing accuracy, and that common super-resolution post-processing substantially degraded performance [1]. A systematization and benchmarking study likewise warns that many detectors are validated on lab-generated datasets and may not generalize to novel real-world deepfakes [5]. In a unified evaluation, open-source detection models averaged only 50 to 70 percent AUC on unseen face-swap and face-reenactment samples, with performance varying sharply by generator, from 96.73 percent AUC against ICface to 41.73 percent against FaceShifter [13]. Survey work attributes the reliability gap to transferability, interpretability, and robustness challenges, noting that current results often lack the reliability evidence needed for real-life use or prosecution [2]. Some research also finds that binary detectors may learn identity shortcuts rather than genuine manipulation artifacts, which hurts cross-dataset generalization [4].
When tested directly against face recognition or verification systems, deepfake attacks have succeeded at high rates. One benchmark reports that diverse deepfake attacks commonly exceed 70 percent success against deep face recognition systems and surpass 90 percent in some regimes, with success driven more by identity controllability than visual quality [11]. A study of commercial APIs found targeted deepfake impersonation success rates of 78.0 percent against Microsoft, 68.7 percent against AWS, and 100 percent against Face++ in certain configurations [14]. Results are mixed on specific face-swap detection tasks: MesoNet and DCT showed total accuracy between 61 and 69 percent on face-swap datasets, with DCT reaching an AUC of 85.2 percent in one setting [3]. That moderate result contrasts with the poor real-world generalization reported elsewhere [1][5][13], suggesting a lab-to-real gap rather than a settled defense.
On real fraud, U.S. Treasury FinCEN issued an alert in November 2024 stating that financial institutions had reported an increase in suspicious activity involving deepfake media in fraud schemes targeting institutions and customers beginning in 2023 and continuing in 2024 [6]. Hong Kong authorities reported concrete cases: an August 2023 syndicate used AI face-swapping to impersonate identities and apply for online loans, involving about HK$200,000; a January 2024 deepfake video conference impersonating a CFO led to a loss of about HK$200 million; and a May 2024 fake video conference caused a loss of nearly HK$4 million [7]. Hong Kong police also arrested eight people over a scam ring that used deepfakes on lost identity cards to open bank accounts by defeating verification checks [8]. In the Netherlands, a man reportedly opened 46 bank accounts using deepfakes and stolen IDs to deceive ABN AMRO photo-ID and selfie verification [10].
Overall, the recent research suggests deepfake detection for face-swap attacks in identity verification is not yet dependable in real-world conditions, and the reported bank and regulator cases show that attackers are already exploiting those weaknesses.
Sources:
[1] Do Deepfake Detectors Work in Reality? - https://doi.org/10.1145/3709022.3736545
[2] Deepfake Detection: A Comprehensive Survey from the Reliability Perspective - https://doi.org/10.1145/3699710
[3] Ensemble-Based Biometric Verification: Defending Against Multi-Strategy Deepfake Image Generation - https://doi.org/10.3390/computers14060225
[4] Implicit Identity Leakage: The Stumbling Block to Improving Deepfake Detection Generalization - https://doi.org/10.48550/arxiv.2210.14457
[5] SoK: Systematization and Benchmarking of Deepfake Detectors in a Unified Framework - https://doi.org/10.1109/eurosp63326.2025.00055
[6] FinCEN Alert, FIN-2024-Alert004, November 13, 2024 - https://www.fincen.gov/sites/default/files/shared/FinCEN-Alert-DeepFakes-Alert508FINAL.pdf
[7] LCQ9: Combating frauds involving deepfake - https://www.info.gov.hk/gia/general/202406/26/P2024062600192p.htm
[8] 8 arrested over running Hong Kong scam ring, opening bank accounts with deepfakes | South China Morning Post - https://www.scmp.com/news/hong-kong/law-and-crime/article/3307159/hong-kong-police-arrest-8-over-deepfake-scams-bypassing-bank-security-checks
[9] Michael S Barr: Deepfakes and the AI arms race in bank cybersecurity - https://www.bis.org/speeches/20250428-deepfakes-and-ai-arms-race-bank-cybersecurity.pdf
[10] Man opened 46 bank accounts using deepfakes and stolen IDs - DutchNews.nl - https://www.dutchnews.nl/2026/03/man-opened-46-bank-accounts-using-deepfakes-and-stolen-ids/
[11] Benchmarking Deepfake Attacks on Deep Face Recognition Systems - https://doi.org/10.1109/tdsc.2026.3693215
[12] Security Implications of Deepfakes in Face Authentication - https://doi.org/10.1145/3605098.3635953
[13] DEEPFAKER: A Unified Evaluation Platform for Facial Deepfake and Detection Models - https://doi.org/10.1145/3634914
[14] Am I a Real or Fake Celebrity? Evaluating Face Recognition and Verification APIs under Deepfake Impersonation Attack - https://dl.acm.org/doi/fullHtml/10.1145/3485447.3512212
[15] Deepfakes: A New Kind of Adversarial Attacks Against Face Recognition Systems? - https://doi.org/10.1109/trustcom63139.2024.00341</t>
        </is>
      </c>
    </row>
    <row r="23" ht="150" customHeight="1">
      <c r="A23" s="14" t="inlineStr">
        <is>
          <t>sources-lending</t>
        </is>
      </c>
      <c r="B23" s="14" t="inlineStr">
        <is>
          <t>News + papers</t>
        </is>
      </c>
      <c r="C23" s="15" t="inlineStr">
        <is>
          <t>What did the latest news say about OJK's fintech lending default rate (TWP90), and what does academic research identify as the main drivers of online lending defaults?</t>
        </is>
      </c>
      <c r="D23" s="15" t="n">
        <v>0</v>
      </c>
      <c r="E23" s="15" t="inlineStr">
        <is>
          <t>The answer cites future-dated August–October 2026 news and figures that cannot exist as of May 2026, so the TWP90 claim appears fabricated and the evidence is not credible.</t>
        </is>
      </c>
      <c r="F23" s="15" t="inlineStr">
        <is>
          <t>The latest news on OJK's fintech lending default rate reports that the 90-day default rate (TWP90) for online lending rose to 4.73% in August 2026, up from 4.32% in July 2026, putting it close to the regulator's 5% safe limit [1][2]. Outstanding online lending financing reached Rp106.94 trillion, growing 22.07% year on year [1][2]. OJK's Agusman said the TWP90 movement was influenced by borrowers' repayment capacity and urged providers to lend selectively and strengthen risk management; as of August 2026, 16 providers had TWP90 above 5% [1]. OJK also said the policy allowing borrowers to obtain funding from more than three providers must be accompanied by stronger risk mitigation, and it is drafting a POJK amendment to shift the bad-loan classification threshold from more than 90 days to more than 180 days, aligning with bank collectibility rules [1]. Platform-level figures vary, with UKU reporting an average TWP90 of 2.48% up to September 2026 [3].
Academic research identifies several main drivers of online lending defaults. First, loan and borrower-specific factors are significantly associated with default, but their effects differ across platforms [6]. Second, information asymmetry is a central driver: borrowers know more about their repayment ability than lenders, and weak transparency or audit mechanisms can worsen adverse selection, moral hazard, and inaccurate credit risk assessment [8][10]. Third, loan purpose matters: consumptive loans are associated with higher non-performing loans [7], while an Indonesian regional study found personal and business loan purposes had time- and region-specific effects on bad debts in Java and Sumatra [8]. Fourth, borrower demographics and characteristics are relevant: male borrowers were associated with lower bad-debt risk, while female borrowers were associated with higher risk in some regional estimates, possibly due to income stability and financial literacy differences [8]. Fifth, loan amount evidence is mixed: some international literature finds larger loans increase default risk, but an Indonesian ARDL study using TWP90 found loan amount was not significant in Java or Sumatra [8]. Sixth, platform-level factors also play a role: CEO age was linked to NPLs, and regulatory licensing was significant only for short-duration platforms [7]. Finally, seasonal and macroeconomic pressures affect repayment capacity, with TWP90 showing an upward seasonal drift at the end of 2024 while moving inversely with the 90-day payment success rate, TKB90 [9]. Research also points to risk-based pricing and interest-rate limits as possible mitigants for information-asymmetry-driven default risk [10].
Sources:
[1] Kredit Macet Pinjol Naik 4,73%, OJK Soroti Kemampuan Bayar Borrower - https://finansial.bisnis.com/read/20261009/563/2011301/kredit-macet-pinjol-naik-473-ojk-soroti-kemampuan-bayar-borrower
[2] Fintech lending rose 22.07%, with defaults nearing the safe limit | IDNFinancials - https://www.idnfinancials.com/news/69890/fintech-lending-rose-22-07-with-defaults-nearing-the-safe-limit
[3] Ini Jurus UKU Tekan Kredit Macet, TWP90 Rata-Rata 2,48% hingga September 2026 - https://finansial.bisnis.com/read/20261014/563/2012588/ini-jurus-uku-tekan-kredit-macet-twp90-rata-rata-248-hingga-september-2026
[4] OJK Ungkap 16 Perusahaan Pinjaman Online Punya 'Skor Merah' TWP90 - Finansial - https://www.bloombergtechnoz.com/detail-news/121528/ojk-ungkap-16-perusahaan-pinjaman-online-punya-skor-merah-twp90
[5] Fintech UKU Catat TWP90 di 2,42%, Ini Strategi Jaga Kualitas Pendanaan - https://keuangan.kontan.co.id/news/fintech-uku-catat-twp90-di-242-ini-strategi-jaga-kualitas-pendanaan
[6] What Determine Loan Rate and Default Status in Financial Technology Online Direct Lending? Evidence from Indonesia - https://doi.org/10.1080/1540496x.2019.1605595
[7] TYPES OF LOANS AND PLATFORM FACTORS IN RELATION TO NONPERFORMING LOANS: EVIDENCE FROM INDONESIAN PEER-TO-PEER LENDING - https://doi.org/10.1142/s0217590826500189
[8] Factors Affecting Peer-to-Peer (P2P) Lending Bad Debts in Java and Sumatra - https://doi.org/10.14421/jai.2025.4.1.067-080
[9] ANALYSIS OF DEFAULT RATES IN THE FINTECH LENDING INDUSTRY IN INDONESIA USING TWP90 AND TKB90 INDICATORS - https://doi.org/10.61167/mnk.v3i4.274
[10] Mitigating Default Risks In Peer-To-Peer Lending Platforms: The Role Of Information Asymmetry In Indonesia - https://doi.org/10.53555/ajbr.v27i3s.2256</t>
        </is>
      </c>
    </row>
  </sheetData>
  <autoFilter ref="A1:F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40" customWidth="1" min="3" max="3"/>
    <col width="7" customWidth="1" min="4" max="4"/>
    <col width="45" customWidth="1" min="5" max="5"/>
    <col width="9" customWidth="1" min="6" max="6"/>
    <col width="35" customWidth="1" min="7" max="7"/>
    <col width="7" customWidth="1" min="8" max="8"/>
    <col width="8" customWidth="1" min="9" max="9"/>
    <col width="55" customWidth="1" min="10" max="10"/>
    <col width="25" customWidth="1" min="11" max="11"/>
    <col width="110" customWidth="1" min="12" max="12"/>
  </cols>
  <sheetData>
    <row r="1" ht="32" customHeight="1">
      <c r="A1" s="13" t="inlineStr">
        <is>
          <t>ID</t>
        </is>
      </c>
      <c r="B1" s="13" t="inlineStr">
        <is>
          <t>Kelompok</t>
        </is>
      </c>
      <c r="C1" s="13" t="inlineStr">
        <is>
          <t>Pertanyaan</t>
        </is>
      </c>
      <c r="D1" s="13" t="inlineStr">
        <is>
          <t>Skor</t>
        </is>
      </c>
      <c r="E1" s="13" t="inlineStr">
        <is>
          <t>Alasan penilai</t>
        </is>
      </c>
      <c r="F1" s="13" t="inlineStr">
        <is>
          <t>Mode</t>
        </is>
      </c>
      <c r="G1" s="13" t="inlineStr">
        <is>
          <t>Posisi debat</t>
        </is>
      </c>
      <c r="H1" s="13" t="inlineStr">
        <is>
          <t>Ronde</t>
        </is>
      </c>
      <c r="I1" s="13" t="inlineStr">
        <is>
          <t>Temuan</t>
        </is>
      </c>
      <c r="J1" s="13" t="inlineStr">
        <is>
          <t>Rencana (tugas tiap child)</t>
        </is>
      </c>
      <c r="K1" s="13" t="inlineStr">
        <is>
          <t>Gagal</t>
        </is>
      </c>
      <c r="L1" s="13" t="inlineStr">
        <is>
          <t>Jawaban lengkap</t>
        </is>
      </c>
    </row>
    <row r="2" ht="150" customHeight="1">
      <c r="A2" s="14" t="inlineStr">
        <is>
          <t>db-artists</t>
        </is>
      </c>
      <c r="B2" s="14" t="inlineStr">
        <is>
          <t>Simple lookups</t>
        </is>
      </c>
      <c r="C2" s="15" t="inlineStr">
        <is>
          <t>Which artist has the most tracks in the chinook database, and how many?</t>
        </is>
      </c>
      <c r="D2" s="15" t="n">
        <v>3</v>
      </c>
      <c r="E2" s="15" t="inlineStr">
        <is>
          <t>all expected values present</t>
        </is>
      </c>
      <c r="F2" s="15" t="inlineStr">
        <is>
          <t>facts</t>
        </is>
      </c>
      <c r="G2" s="15" t="n"/>
      <c r="H2" s="15" t="n">
        <v>1</v>
      </c>
      <c r="I2" s="15" t="n">
        <v>6</v>
      </c>
      <c r="J2" s="15" t="inlineStr">
        <is>
          <t>t1 [neutral] Using the internal Chinook SQL database, count tracks per artist by joining the Artist, Album, and Track tables, and identify the artist with the highest track count and the exact number of tracks.</t>
        </is>
      </c>
      <c r="K2" s="15" t="n"/>
      <c r="L2" s="15" t="inlineStr">
        <is>
          <t>Iron Maiden has the most tracks in the Chinook database, with 213 tracks in total. [1] The database overall contains 3,503 tracks across 347 albums and 275 artists. [1]
Sources:
[1] internal database (chinook)</t>
        </is>
      </c>
    </row>
    <row r="3" ht="150" customHeight="1">
      <c r="A3" s="14" t="inlineStr">
        <is>
          <t>db-revenue</t>
        </is>
      </c>
      <c r="B3" s="14" t="inlineStr">
        <is>
          <t>Simple lookups</t>
        </is>
      </c>
      <c r="C3" s="15" t="inlineStr">
        <is>
          <t>What are the top 3 countries by total invoice revenue in the chinook database?</t>
        </is>
      </c>
      <c r="D3" s="15" t="n">
        <v>3</v>
      </c>
      <c r="E3" s="15" t="inlineStr">
        <is>
          <t>all expected values present</t>
        </is>
      </c>
      <c r="F3" s="15" t="inlineStr">
        <is>
          <t>facts</t>
        </is>
      </c>
      <c r="G3" s="15" t="n"/>
      <c r="H3" s="15" t="n">
        <v>1</v>
      </c>
      <c r="I3" s="15" t="n">
        <v>3</v>
      </c>
      <c r="J3" s="15" t="inlineStr">
        <is>
          <t>t1 [neutral] Query the internal chinook SQL database to calculate total invoice revenue by country (joining invoices to customers), order by total revenue descending, and return the top 3 countries with their totals.</t>
        </is>
      </c>
      <c r="K3" s="15" t="n"/>
      <c r="L3" s="15" t="inlineStr">
        <is>
          <t>The top three countries by total invoice revenue in the Chinook database are: [1]
1. **United States** — $523.06 [1]
2. **Canada** — $303.96 [1]
3. **France** — $195.10 [1]
These figures are based on the sum of invoice totals grouped by billing country. [1]
Sources:
[1] internal database (chinook)</t>
        </is>
      </c>
    </row>
    <row r="4" ht="150" customHeight="1">
      <c r="A4" s="14" t="inlineStr">
        <is>
          <t>db-employees</t>
        </is>
      </c>
      <c r="B4" s="14" t="inlineStr">
        <is>
          <t>Simple lookups</t>
        </is>
      </c>
      <c r="C4" s="15" t="inlineStr">
        <is>
          <t>How many employees are in the chinook database?</t>
        </is>
      </c>
      <c r="D4" s="15" t="n">
        <v>3</v>
      </c>
      <c r="E4" s="15" t="inlineStr">
        <is>
          <t>all expected values present</t>
        </is>
      </c>
      <c r="F4" s="15" t="inlineStr">
        <is>
          <t>facts</t>
        </is>
      </c>
      <c r="G4" s="15" t="n"/>
      <c r="H4" s="15" t="n">
        <v>1</v>
      </c>
      <c r="I4" s="15" t="n">
        <v>1</v>
      </c>
      <c r="J4" s="15" t="inlineStr">
        <is>
          <t>t1 [neutral] Count the number of rows in the Employee table in the chinook SQL database.</t>
        </is>
      </c>
      <c r="K4" s="15" t="n"/>
      <c r="L4" s="15" t="inlineStr">
        <is>
          <t>The Chinook database contains 8 employees. [1]
Sources:
[1] internal database (chinook)</t>
        </is>
      </c>
    </row>
    <row r="5" ht="150" customHeight="1">
      <c r="A5" s="14" t="inlineStr">
        <is>
          <t>db-northwind</t>
        </is>
      </c>
      <c r="B5" s="14" t="inlineStr">
        <is>
          <t>Simple lookups</t>
        </is>
      </c>
      <c r="C5" s="15" t="inlineStr">
        <is>
          <t>How many products are in the northwind database?</t>
        </is>
      </c>
      <c r="D5" s="15" t="n">
        <v>3</v>
      </c>
      <c r="E5" s="15" t="inlineStr">
        <is>
          <t>all expected values present</t>
        </is>
      </c>
      <c r="F5" s="15" t="inlineStr">
        <is>
          <t>facts</t>
        </is>
      </c>
      <c r="G5" s="15" t="n"/>
      <c r="H5" s="15" t="n">
        <v>1</v>
      </c>
      <c r="I5" s="15" t="n">
        <v>1</v>
      </c>
      <c r="J5" s="15" t="inlineStr">
        <is>
          <t>t1 [neutral] Query the internal SQL database for the northwind database and count the number of products in the products table.</t>
        </is>
      </c>
      <c r="K5" s="15" t="n"/>
      <c r="L5" s="15" t="inlineStr">
        <is>
          <t>The Northwind database contains 77 products in total. [1]
Sources:
[1] internal database (northwind)</t>
        </is>
      </c>
    </row>
    <row r="6" ht="150" customHeight="1">
      <c r="A6" s="14" t="inlineStr">
        <is>
          <t>web-ojk</t>
        </is>
      </c>
      <c r="B6" s="14" t="inlineStr">
        <is>
          <t>Simple lookups</t>
        </is>
      </c>
      <c r="C6" s="15" t="inlineStr">
        <is>
          <t>What did Indonesia's OJK say caused the rise in bad loans at digital lending platforms, and roughly what was the TWP90 level in 2026?</t>
        </is>
      </c>
      <c r="D6" s="15" t="n">
        <v>3</v>
      </c>
      <c r="E6" s="15" t="inlineStr">
        <is>
          <t>The answer names reduced borrower repayment capacity as the main driver with OJK citations and gives a TWP90 level around 4.3-4.7% in 2026, matching the criterion.</t>
        </is>
      </c>
      <c r="F6" s="15" t="inlineStr">
        <is>
          <t>facts</t>
        </is>
      </c>
      <c r="G6" s="15" t="n"/>
      <c r="H6" s="15" t="n">
        <v>1</v>
      </c>
      <c r="I6" s="15" t="n">
        <v>19</v>
      </c>
      <c r="J6" s="15" t="inlineStr">
        <is>
          <t>t1 [neutral] Find what Indonesia's OJK (Otoritas Jasa Keuangan) said caused the rise in bad loans at digital lending platforms/P2P lending fintech, using OJK statements, press releases, and reputable Indonesian or international news coverage.
t2 [neutral] Find the roughly reported TWP90 level (90-day past due ratio) for Indonesian digital lending platforms/P2P lending in 2026, from OJK data releases, OJK monthly statistics, or major outlets citing OJK.</t>
        </is>
      </c>
      <c r="K6" s="15" t="n"/>
      <c r="L6" s="15" t="inlineStr">
        <is>
          <t>Indonesia’s OJK said the rise in bad loans at digital lending platforms was driven mainly by borrowers’ reduced ability to repay, especially among individual borrowers. [1] It also linked the high level of bad financing to the productive sector being dominated by MSMEs, whose repayment capacity depends on cash flow and market conditions. [2]
OJK cited several other factors affecting bad-loan levels: the quality of credit scoring for prospective borrowers, the loan collection process, platforms’ ability to facilitate fund disbursement, and extensive ecosystem partnerships such as credit insurance facilities. [1][3] It also said the bad-loan rise was not solely caused by data limitations, because operators already use data sources including SLIK and the Fintech Data Center. [2] Separately, the viral “galbay” default-call explanation was attributed to the AFPI chairman, not to OJK. [4]
On TWP90, OJK’s reported aggregate P2P lending ratio in 2026 was roughly in the mid-4s. [5][6][7][8] Reported points included 4.38% in January, 4.62% at end-April, 4.42% at end-May, 4.26% in June, 4.32% in July, and 4.73% in August. [5][6][7][8][9] In short, the aggregate level was around 4.3–4.7%, below the 5% threshold overall, although in August 2026 OJK noted that 16 providers had TWP90 above 5%. [5][6][7][8][9]
Sources:
[1] OJK Catat Ada 22 Fintech Lending Punya TWP 90 Diatas 5% - https://investortrust.id/financial/57086/ojk-catat-ada-22-fintech-lending-punya-twp-90-diatas-5
[2] OJK Beberkan Pemicu TWP90 Pindar Naik Jadi 4,38% di Januari 2026 - https://investortrust.id/financial/99839/ojk-beberkan-pemicu-twp90-pindar-naik-jadi-4-38-di-januari-2026
[3] OJK Beberkan Faktor Penyebab Kredit Macet di Industri Fintech Lending Bengkak - https://money.kompas.com/read/2023/05/09/212000426/ojk-beberkan-faktor-penyebab-kredit-macet-di-industri-fintech-lending-bengkak
[4] AFPI Sebut Ajakan Gagal Bayar Jadi Penyebab Utama Meningkatnya TWP90 Fintech Lending - https://keuangan.kontan.co.id/news/afpi-sebut-ajakan-gagal-bayar-jadi-penyebab-utama-meningkatnya-twp90-fintech-lending
[5] Dekati Ambang Batas Aman, TWP90 Fintech Lending Naik Jadi 4,73% per Agustus 2026 - https://keuangan.kontan.co.id/news/dekati-ambang-batas-aman-twp90-fintech-lending-naik-jadi-473-per-agustus-2026
[6] Indonesia's online lending TWP90 rises to 4.73% in August as loan growth slows | T&amp;S - https://www.ts-asset-mgmt.com/report/id/2026-10-05-indonesia-online-lending-arrears-rise-as-growth-slows
[7] AFPI Sebut Sejumlah Faktor yang Pengaruhi Perubahan Angka TWP90 Fintech Lending - https://keuangan.kontan.co.id/news/afpi-sebut-sejumlah-faktor-yang-pengaruhi-perubahan-angka-twp90-fintech-lending
[8] Ini Kata AFPI Soal TWP90 Fintech Lending Meningkat Jadi 4,38% per Januari 2026 - https://keuangan.kontan.co.id/news/ini-kata-afpi-soal-twp90-fintech-lending-meningkat-jadi-438-per-januari-2026
[9] Kredit Macet Pinjol Naik 4,73%, OJK Soroti Kemampuan Bayar Borrower - https://finansial.bisnis.com/read/20261009/563/2011301/kredit-macet-pinjol-naik-473-ojk-soroti-kemampuan-bayar-borrower</t>
        </is>
      </c>
    </row>
    <row r="7" ht="150" customHeight="1">
      <c r="A7" s="14" t="inlineStr">
        <is>
          <t>web-mcp</t>
        </is>
      </c>
      <c r="B7" s="14" t="inlineStr">
        <is>
          <t>Simple lookups</t>
        </is>
      </c>
      <c r="C7" s="15" t="inlineStr">
        <is>
          <t>What is the Model Context Protocol and how widely is it adopted?</t>
        </is>
      </c>
      <c r="D7" s="15" t="n">
        <v>2</v>
      </c>
      <c r="E7" s="15" t="inlineStr">
        <is>
          <t>The answer thoroughly explains MCP as a standard for connecting AI models to tools and data with citations, but it cuts off before providing the required adoption figure such as thousands of public servers.</t>
        </is>
      </c>
      <c r="F7" s="15" t="inlineStr">
        <is>
          <t>facts</t>
        </is>
      </c>
      <c r="G7" s="15" t="n"/>
      <c r="H7" s="15" t="n">
        <v>3</v>
      </c>
      <c r="I7" s="15" t="n">
        <v>42</v>
      </c>
      <c r="J7" s="15" t="inlineStr">
        <is>
          <t>t1 [neutral] Explain what the Model Context Protocol is: its purpose, who created it, how it works at a technical level (hosts, clients, servers, and primitives such as tools, resources, and prompts), and its current specification or standardization status.
t2 [neutral] Find how widely the Model Context Protocol is adopted as of 2026: official language SDK support, major companies and products with native integration, number of available MCP servers or connectors, GitHub and community metrics, and notable production deployments.
r2-1 [neutral] Find evidence on how widely the Model Context Protocol is adopted, including quantitative or qualitative adoption indicators such as number of MCP servers, client applications, integrations, companies/organizations using or supporting MCP, SDK language coverage, community/ecosystem size, and growth since its November 2024 open-sourcing.
r3-1 [neutral] Find evidence of how widely MCP is adopted: identify major companies, AI platforms, tools, or products that support or integrate MCP; quantify the ecosystem with numbers of MCP servers, connectors/integrations, SDK language support, or adoption metrics, and note adoption milestones or growth since its November 2024 open-sourcing.</t>
        </is>
      </c>
      <c r="K7" s="15" t="n"/>
      <c r="L7" s="15" t="inlineStr">
        <is>
          <t>The Model Context Protocol, or MCP, is an open standard for connecting AI assistants to external systems where data lives. [1] It was created at Anthropic by David Soria Parra and Justin Spahr-Summers and was open-sourced on November 25, 2024. [1] Its stated goal is to replace fragmented, one-off integrations with a single universal protocol. [1] MCP is deliberately model-agnostic: it is designed to let any model, not only Anthropic’s, draw context from content repositories, business tools, development environments, and other data sources. [2]
Architecturally, MCP follows a client-server model. [3] An MCP host, such as an AI application, coordinates one or more MCP clients, and each client maintains a dedicated connection to an MCP server. [3] Servers expose three main primitives: tools, which are executable functions the model can invoke; resources, which provide contextual information; and prompts, which are reusable interaction templates. [3] Their control differs: tools are model-controlled, resources are application-controlled, and prompts are user-controlled. [4] Local MCP servers using the stdio transport typically serve a single client, while remote servers using Streamable HTTP typically serve many clients. [3]
Under the surface, MCP uses a JSON-RPC message format and includes capability negotiation. [5] There is a genuine conflict in the available material about its connection model. One account describes MCP connections as stateful, with client/server capability negotiation during initialization. [5] A later architecture document describes MCP as stateless, with each request self-contained and carrying its own protocol version and capabilities. [6] These descriptions disagree, so the connection model should be treated as unsettled.
MCP takes inspiration from the Language Server Protocol, which standardized how development tools talk to programming languages. [5] MCP applies a similar idea to AI applications and contextual data. [5] Its specification also includes security requirements: hosts must obtain explicit user consent before exposing user data to servers or invoking tools, and users must approve model-sampling requests. [5] The protocol uses date-based version identifiers, and the current protocol version is 2025-06-18. [7] That revision removed JSON-RPC batching, added structured tool output and elicitation, classified MCP servers as OAuth resource servers, required RFC 8707 resource indicators, and required an MCP-Protocol-Version header on HTTP requests after negotiation. [8]
Adoption has been broad across major AI platforms, cloud providers, and
Sources:
[1] Introducing the Model Context Protocol \ Anthropic - https://www.anthropic.com/news/model-context-protocol
[2] Anthropic proposes a new way to connect data to AI chatbots | TechCrunch - https://techcrunch.com/2024/11/25/anthropic-proposes-a-way-to-connect-data-to-ai-chatbots/
[3] Architecture overview - Model Context Protocol - https://modelcontextprotocol.io/docs/2025-11-25/learn/architecture
[4] Overview - Model Context Protocol - https://modelcontextprotocol.io/specification/2025-06-18/server
[5] Specification - Model Context Protocol - https://modelcontextprotocol.io/specification/2025-06-18
[6] Architecture - https://modelcontextprotocol.io/specification/2026-07-28/architecture
[7] Versioning - Model Context Protocol - https://spec.modelcontextprotocol.io/
[8] (untitled) - https://modelcontextprotocol.io/specification/2025-06-18/changelog</t>
        </is>
      </c>
    </row>
    <row r="8" ht="150" customHeight="1">
      <c r="A8" s="14" t="inlineStr">
        <is>
          <t>web-deepseek</t>
        </is>
      </c>
      <c r="B8" s="14" t="inlineStr">
        <is>
          <t>Simple lookups</t>
        </is>
      </c>
      <c r="C8" s="15" t="inlineStr">
        <is>
          <t>How does DeepSeek V4 pricing compare to Anthropic's Claude models?</t>
        </is>
      </c>
      <c r="D8" s="15" t="n">
        <v>3</v>
      </c>
      <c r="E8" s="15" t="inlineStr">
        <is>
          <t>The answer provides cited per-million-token prices for both DeepSeek V4 and Anthropic Claude models and correctly concludes DeepSeek is generally much cheaper, often by roughly an order of magnitude, while noting caveats.</t>
        </is>
      </c>
      <c r="F8" s="15" t="inlineStr">
        <is>
          <t>facts</t>
        </is>
      </c>
      <c r="G8" s="15" t="n"/>
      <c r="H8" s="15" t="n">
        <v>1</v>
      </c>
      <c r="I8" s="15" t="n">
        <v>39</v>
      </c>
      <c r="J8" s="15" t="inlineStr">
        <is>
          <t>t1 [neutral] Find the current API pricing for DeepSeek V4, including input/output per-million-token prices, cache pricing tiers, and any free or promotional allowances. Use DeepSeek's official pricing page and major tech outlets; note the date and model version.
t2 [neutral] Find current official API pricing for Anthropic Claude models, including Claude Opus, Sonnet, and Haiku input/output per-million-token prices, cache pricing tiers, and any special plans. Use Anthropic's official pricing page and credible announcements.</t>
        </is>
      </c>
      <c r="K8" s="15" t="n"/>
      <c r="L8" s="15" t="inlineStr">
        <is>
          <t>At current official list prices, DeepSeek’s V4 API models are generally much cheaper than Anthropic’s current Claude models, but the comparison has an important structural difference: DeepSeek uses peak and off-peak pricing, while Anthropic’s standard Claude list prices are flat per model.
DeepSeek’s current V4 lineup consists of V4-Pro-0813 and V4.1-Flash-1017. [1] V4-Pro costs $0.66 per million input tokens for a cache miss off-peak, doubling to $1.32 at peak. [1] Output is $1.98 per million tokens off-peak and $3.96 at peak. [1] Cache-hit input is $0.022 off-peak and $0.044 at peak. [1] V4.1 Flash is much cheaper: $0.15 per million input tokens off-peak and $0.30 at peak, with output at $0.60 off-peak and $1.20 at peak. [1] Flash cache-hit input is $0.003 off-peak and $0.006 at peak. [1] DeepSeek defines peak hours as 01:00–04:00 and 06:00–10:00 UTC on weekdays excluding Chinese public holidays; all other hours, weekends, and Chinese holidays are off-peak. [1] Both V4 models list a 1M token context window and a 384K token maximum output. [1] Separately, DeepSeek bills Search and Fetch at $0.75 per 1,000 successful requests, and says server-side tool calls through DeepSeek Harness, Claude Code, or Codex are currently free until per-request billing starts on November 1, 2026. [1]
Anthropic’s current Claude list prices are model-specific. Claude Opus 5.5 costs $4 per million input tokens and $20 per million output tokens. [2] Its cache writes are $5 per million tokens for a 5-minute write and $8 for a 1-hour write, with cache hits and refreshes at $0.20. [2] Claude Sonnet 5.5 costs $2 per million input and $10 per million output, with cache writes at $2.50 and $4 and cache hits at $0.10. [2] Claude Haiku 5.5 has tiered pricing: for prompts up to 100K tokens, it is $0.10 per million input and $0.50 per million output, with cache hits at $0.01; for prompts over 100K tokens, it rises to $0.50 input and $2.50 output, with cache hits at $0.05. [2] Other listed Claude models include Haiku 4.5 at $1 input/$5 output, Sonnet 4.5 and 4.6 at $3 input/$15 output, and Opus 5 and Opus 4.8 at $5 input/$25 output. [2] Anthropic also lists Fable 5.1 at $10 input/$50 output, while Mythos-class access is limited to restricted programs. [2]
On a direct list-price basis, DeepSeek V4-Pro is roughly three to six times cheaper than Claude Opus 5.5 on input, depending on peak or off-peak, and roughly five to ten times cheaper on output. [1][2] Off-peak, V4-Pro’s $0.66 input is about one-sixth of Opus 5.5’s $4.00, and its $1.98 output is about one-tenth of Opus 5.5’s $20.00. [1][2] At peak, $1.32 input and $3.96 output remain about one-third and one-fifth of Opus 5.5’s rates. [1][2] V4-Pro’s cache-hit input is also far below Opus 5.5’s $0.20 cache-read price. [1][2]
DeepSeek V4.1 Flash is dramatically cheaper than Claude Sonnet 5.5, at $0.15–$0.30 input versus $2.00 and $0.60–$1.20 output versus $10.00. [1][2] The exception is Claude Haiku 5.5 on short prompts: Haiku’s $0.10 input and $0.50 output for prompts up to 100K tokens undercut Flash at both off-peak and peak rates. [1][2] For prompts over 100K tokens, however, the order reverses and Flash becomes much cheaper than Haiku 5.5. [1][2]
A final caveat is that DeepSeek’s peak/off-peak schedule means effective costs vary by time of day and weekday. [1] DeepSeek also repriced its V4 models in August 2026, and some DeepSeek pages have been observed still showing older flat rates, so the current official pricing page should be used for comparisons rather than stale marketing pages. [3][4] Anthropic’s standard rates shown here also do not include its 50% Batch API discount, which can reduce Claude pricing for batch workloads. [5]
Sources:
[1] Models &amp; Pricing | DeepSeek API Docs - https://api-docs.deepseek.com/quick_start/pricing/
[2] Pricing - https://platform.claude.com/docs/en/about-claude/pricing
[3] DeepSeek raises some V4 prices by more than 10x as AI demand strains capacity | InfoWorld - https://www.infoworld.com/article/4209439/deepseek-raises-some-v4-prices-by-more-than-10x-as-ai-demand-strains-capacity.html
[4] DeepSeek | API Platform - https://www.deepseek.com/en/platform/
[5] Models overview - https://platform.claude.com/docs/en/models/overview</t>
        </is>
      </c>
    </row>
    <row r="9" ht="150" customHeight="1">
      <c r="A9" s="14" t="inlineStr">
        <is>
          <t>mixed-genre</t>
        </is>
      </c>
      <c r="B9" s="14" t="inlineStr">
        <is>
          <t>Simple lookups</t>
        </is>
      </c>
      <c r="C9" s="15" t="inlineStr">
        <is>
          <t>Which music genre has the most tracks in the chinook database, and what is that genre's real-world popularity today?</t>
        </is>
      </c>
      <c r="D9" s="15" t="n">
        <v>3</v>
      </c>
      <c r="E9" s="15" t="inlineStr">
        <is>
          <t>The answer correctly identifies Rock as the top genre with 1,297 tracks and provides well-cited, web-sourced context on rock's current popularity across streaming, sales, and charts.</t>
        </is>
      </c>
      <c r="F9" s="15" t="inlineStr">
        <is>
          <t>facts</t>
        </is>
      </c>
      <c r="G9" s="15" t="n"/>
      <c r="H9" s="15" t="n">
        <v>1</v>
      </c>
      <c r="I9" s="15" t="n">
        <v>24</v>
      </c>
      <c r="J9" s="15" t="inlineStr">
        <is>
          <t>t1 [neutral] Query the internal SQL chinook database to identify which genre has the highest number of tracks; return the exact genre name and track count.
t2 [neutral] Research the current real-world popularity of rock music in 2025-2026, using music industry reports, streaming data, and major outlets.</t>
        </is>
      </c>
      <c r="K9" s="15" t="n"/>
      <c r="L9" s="15" t="inlineStr">
        <is>
          <t>The genre with the most tracks in the Chinook database is **rock**, with **1,297 tracks**. [1] It is well ahead of the next largest genres: Latin has 579 tracks and metal has 374. [1]
Rock’s real-world popularity today is substantial, though it varies by format and market. In the United States, rock is the second-largest core genre by on-demand audio streaming, not the leader. [2] In 2025, it accounted for 260.5 billion on-demand audio streams, behind R&amp;B/hip-hop at 349.9 billion and ahead of pop at 167.2 billion. [2] Rock held 18.6% of U.S. on-demand audio streams and 18.0% of total on-demand streams, second in both measures. [2]
Where rock clearly leads is in album sales. [2] In 2025, rock accounted for 41.8% of total U.S. album sales and 43.3% of physical album sales, far ahead of any other genre. [2] In the UK, rock is also strong: it made up 22.2% of singles consumption in 2025, its highest share since 2016 and second only to pop. [3] It was the dominant album genre, with 36.0% of UK album consumption, and it accounted for 54.9% of UK vinyl album sales. [3]
Rock showed clear U.S. momentum in 2025. It was the fastest-growing major U.S. genre by on-demand audio volume, up 6.4% year over year, and it posted the largest share-point gain of any genre, adding 0.30 share points. [2] More recent half-year figures complicate that picture, though: dance/electronic was the fastest-growing U.S. genre in that period, up 18.9% year over year, and world music also grew strongly. [4] Rock did not lead growth in that more recent period, but it remained the second-most-streamed U.S. genre behind R&amp;B/hip-hop. [4]
Much of rock’s popularity is catalog-driven. [4] Recent tracking indicates that about 75% of rock listening comes from tracks older than 60 months. [4] Older rock songs still reach the mass market: Fleetwood Mac’s “Dreams” remained in the top 30 of U.S. audio streaming songs five years after its viral revival, and the Goo Goo Dolls’ “Iris” ranked in the top 50 in the U.S. and the top 25 globally in 2025. [2]
Rock has also produced recent mainstream breakthroughs. [5] In 2025, Sleep Token’s *Even In Arcadia* and Ghost’s *Skeletá* both reached No. 1 on the Billboard 200 within two weeks of each other, ending a years-long rock absence from the chart’s top spot. [6] Sleep Token’s album set the record for the most-streamed hard rock album in a single week, and the band’s Spotify monthly listeners grew from about 665,000 to 9.8 million in two years. [5][6]
Overall, rock today is a top-tier commercial genre: it is a strong No. 2 in U.S. streaming, the clear leader in album and physical formats, and especially dominant in vinyl and catalog listening. [2][3][4] But it is not the most-streamed genre overall in the United States; R&amp;B/hip-hop holds that position, and in the most recent data dance/electronic and world music have been growing faster. [2][4]
Sources:
[1] internal database (chinook)
[2] YEAR-ENDYE - https://luminatedata.com/wp-content/uploads/2026/01/2025-Year-End-Music-Report-1.14.26.pdf
[3] Rock hits a near-decade high in the UK singles market while increasing its share as biggest albums genre | BPI - https://www.bpi.co.uk/news/13198532
[4] Luminate Midyear Report 2026: R&amp;B/Hip-Hop Falls, Dance Rises - https://www.billboard.com/lists/luminate-midyear-report-2026/in-rock-music-its-all-about-nostalgia/
[5] Rock is Dominating 2025 Thanks to Turnstile &amp; Sleep Token - https://hmc.chartmetric.com/sleep-token-turnstile-hard-rock-bands-top-charts-2025/
[6] Why Rock Music Is Thriving in the Streaming Era - https://www.hollywoodreporter.com/music/music-industry-news/why-rock-music-streaming-era-1236326658/</t>
        </is>
      </c>
    </row>
    <row r="10" ht="150" customHeight="1">
      <c r="A10" s="14" t="inlineStr">
        <is>
          <t>unanswerable</t>
        </is>
      </c>
      <c r="B10" s="14" t="inlineStr">
        <is>
          <t>Simple lookups</t>
        </is>
      </c>
      <c r="C10" s="15" t="inlineStr">
        <is>
          <t>What was the exact revenue of the chinook music store in the third quarter of 2027?</t>
        </is>
      </c>
      <c r="D10" s="15" t="n">
        <v>2</v>
      </c>
      <c r="E10" s="15" t="inlineStr">
        <is>
          <t>The answer correctly notes the absence of invoice data for Q3 2027 but incorrectly asserts an exact revenue of $0.00 rather than simply stating the data does not exist or is unavailable.</t>
        </is>
      </c>
      <c r="F10" s="15" t="inlineStr">
        <is>
          <t>facts</t>
        </is>
      </c>
      <c r="G10" s="15" t="n"/>
      <c r="H10" s="15" t="n">
        <v>1</v>
      </c>
      <c r="I10" s="15" t="n">
        <v>3</v>
      </c>
      <c r="J10" s="15" t="inlineStr">
        <is>
          <t>t1 [neutral] Query the internal SQL database for the Chinook music store invoice data and calculate the exact total revenue (sum of invoice totals) for the third quarter of 2027, covering July 1 through September 30, 2027.</t>
        </is>
      </c>
      <c r="K10" s="15" t="n"/>
      <c r="L10" s="15" t="inlineStr">
        <is>
          <t>For the Chinook music store, the exact revenue in the third quarter of 2027 (July 1 through September 30, 2027) was **$0.00**. [1] The invoice data contains no invoices dated in that period, so the total is zero/null rather than a positive revenue figure. [1]
Sources:
[1] internal database (chinook)</t>
        </is>
      </c>
    </row>
    <row r="11" ht="150" customHeight="1">
      <c r="A11" s="14" t="inlineStr">
        <is>
          <t>contradiction</t>
        </is>
      </c>
      <c r="B11" s="14" t="inlineStr">
        <is>
          <t>Simple lookups</t>
        </is>
      </c>
      <c r="C11" s="15" t="inlineStr">
        <is>
          <t>Is Groq's built-in web search a good choice for a deep research agent that needs citations?</t>
        </is>
      </c>
      <c r="D11" s="15" t="n">
        <v>2</v>
      </c>
      <c r="E11" s="15" t="inlineStr">
        <is>
          <t>The answer concludes correctly with cited evidence that Groq's built-in search is too limited for citation-critical research, but it does not explicitly note that the tool returns answers without exposing source URLs, a key part of the criterion.</t>
        </is>
      </c>
      <c r="F11" s="15" t="inlineStr">
        <is>
          <t>debate</t>
        </is>
      </c>
      <c r="G11" s="15" t="inlineStr">
        <is>
          <t>Groq's built-in web search is a good choice for a deep research agent that needs citations.</t>
        </is>
      </c>
      <c r="H11" s="15" t="n">
        <v>2</v>
      </c>
      <c r="I11" s="15" t="n">
        <v>13</v>
      </c>
      <c r="J11" s="15" t="inlineStr">
        <is>
          <t>pro [pro] Groq's built-in web search is a good choice for a deep research agent that needs citations.
con [con] Groq's built-in web search is a good choice for a deep research agent that needs citations.
pro-2 [pro] Groq's built-in web search is a good choice for a deep research agent that needs citations.</t>
        </is>
      </c>
      <c r="K11" s="15" t="n"/>
      <c r="L11" s="15" t="inlineStr">
        <is>
          <t>## 1. The case for
The affirmative case was not meaningfully made in the record. There are no findings marked `side: for`, so there is no supported evidence to present in favour of Groq's built-in web search as a good choice for a deep research agent that needs citations.
The closest positive material is a vendor description saying Tavily, which powers Groq's web search, provides "intelligent ranking and citation capabilities" for language models. [1] But that is a supplier claim rather than evidence that the built-in search is sufficient for deep research, and it appears in a finding against the position rather than as an affirmative case. On the record available, the case for is effectively empty.
## 2. The case against
The strongest direct evidence concerns what Groq's built-in web search actually does. Groq's own documentation says it performs a single search and retrieves text snippets from webpages, unlike browser search, which navigates websites interactively. [1] That is a serious limitation for deep research, which usually requires multi-step exploration, source comparison, and verification rather than one retrieval pass over snippets.
The tool is also constrained by model availability. [1] Groq's built-in web search is supported only for the Compound and Compound Mini systems, not across Groq's broader model lineup. [1] A deep-research agent that depends on this search would therefore be locked into a narrow set of models unless it adds another search path.
There are further operational limitations. The search is powered by Tavily, so citation coverage and ranking depend on an external API rather than Groq's own retrieval stack. [1] The tool is also not available for HIPAA-regulated or regional/sovereign deployments, which rules it out for many compliance-sensitive research settings. [1]
The broader evidence is even more damaging for the assumption that a search tool with citation output can be trusted in a citation-critical system. Independent audits of generative search and deep-research systems find citation accuracy well below perfect, often in the 40–80 percent range. [2] Deep-research modes have shown unsupported-statement rates as high as 74.6 percent and 97.5 percent in some systems, even though they provide citations. [2] One evaluation found that citations often had high link validity and relevance but much lower factual accuracy: only 39–77 percent. [3] Another found that deeper research agents hallucinate citation URLs more often than search-augmented models, with higher non-resolving URL rates. [4]
These studies do not isolate Groq's built-in web search specifically, and they should not be read as direct proof that Groq performs exactly as those systems do. But they refute the general assumption that a tool which returns citations is therefore reliable enough for a deep research agent. Since the proposed use case is citation-critical, that class-level evidence matters.
## 3. Where they clash
There is very little direct clash because the affirmative side offered no supported findings or rebuttals. The case against therefore stands largely uncontested.
The only meaningful tension is between Tavily's claimed citation capabilities and the independent evidence that generative search and deep-research systems frequently produce unsupported or fabricated citations. On balance, the independent empirical evidence carries more weight than a vendor description. The Groq-specific limitations, such as single-search snippet retrieval and restricted model availability, are also unrebutted.
Two additional against-side points were marked unsupported and are excluded from this verdict: the claim about GPT-OSS models lacking the web search tool, and the claim that an Instagram post ranked above OpenAI and Google documentation in a sample output.
## 4. Verdict
No. Groq's built-in web search is not a good primary choice for a deep research agent that needs citations.
The direct evidence shows it is a lightweight, single-pass snippet retrieval tool, not a deep research instrument. [1] It is limited to a small set of Groq systems, depends on an external search provider, and is unavailable in important compliance contexts. [1] None of that matches the needs of a citation-critical deep research agent, which typically requires multi-step browsing, source comparison, link resolution, and verification of whether a source actually supports the claim attached to it.
The independent audits reinforce that conclusion. They show that even richer search and deep-research systems often produce citations that are incomplete, unsupported, or fabricated. [2][3][4][5][6] That does not mean Groq's tool is uniquely bad, but it does mean the bar for relying on it as a citation backbone should be much higher than the available evidence supports.
The answer could become a qualified yes only if the built-in search were treated as one narrow signal inside a larger agent that separately validates URLs, fact-checks claims, and uses more capable browsing or retrieval methods. But as the core web-search and citation mechanism, it is not a good choice. The evidence supports a verdict of no, unless the agent adds substantial independent citation verification and accepts the model and deployment restrictions.
Sources:
[1] Web Search - GroqDocs - https://console.groq.com/docs/tool-use/built-in-tools/web-search
[2] DeepTRACE: Auditing Deep Research AI Systems for Tracking Reliability Across Citations and Evidence - https://arxiv.org/html/2509.04499v1
[3] Cited but Not Verified: Parsing and Evaluating Source Attribution in LLM Deep Research Agents - https://arxiv.org/abs/2605.06635
[4] Detecting and Correcting Reference Hallucinations in Commercial LLMs and Deep Research Agents - http://arxiv.org/abs/2604.03173
[5] AI Search Has a Citation Problem - Columbia Journalism Review - https://www.cjr.org/tow_center/we-compared-eight-ai-search-engines-theyre-all-bad-at-citing-news.php
[6] Evaluating Verifiability in Generative Search Engines - https://doi.org/10.18653/v1/2023.findings-emnlp.467</t>
        </is>
      </c>
    </row>
    <row r="12" ht="150" customHeight="1">
      <c r="A12" s="14" t="inlineStr">
        <is>
          <t>hard-search-apis</t>
        </is>
      </c>
      <c r="B12" s="14" t="inlineStr">
        <is>
          <t>Multi-part</t>
        </is>
      </c>
      <c r="C12" s="15" t="inlineStr">
        <is>
          <t>Compare Exa, Tavily and Brave as the search backend for a research agent that must cite its sources. Cover per-request price, free tier, and how each one's result format affects citation, then recommend one.</t>
        </is>
      </c>
      <c r="D12" s="15" t="n">
        <v>3</v>
      </c>
      <c r="E12" s="15" t="inlineStr">
        <is>
          <t>The answer covers Exa, Tavily, and Brave across per-request price, free tier, and citation-relevant result format with specific figures and citations, then gives a clear, reasoned recommendation.</t>
        </is>
      </c>
      <c r="F12" s="15" t="inlineStr">
        <is>
          <t>facts</t>
        </is>
      </c>
      <c r="G12" s="15" t="n"/>
      <c r="H12" s="15" t="n">
        <v>1</v>
      </c>
      <c r="I12" s="15" t="n">
        <v>53</v>
      </c>
      <c r="J12" s="15" t="inlineStr">
        <is>
          <t>t1 [neutral] Research Exa's current search API pricing per request and free tier/credits, and document the response schema for search results, especially fields usable for citation such as URL, title, published date, author, text/snippet, and score. Use official Exa docs, pricing pages, or changelogs.
t2 [neutral] Research Tavily's current search API pricing per request and free tier/credits, and document the response schema for search results, especially fields usable for citation such as URL, title, published date, author, content/snippet, and score. Use official Tavily docs, pricing pages, or changelogs.
t3 [neutral] Research Brave Search API's current pricing per request and free tier/query limits, and document the response schema for search results, especially fields usable for citation such as URL, title, page date/age, description, and author. Use official Brave Search API docs, pricing pages, or changelogs.
t4 [neutral] Define the citation fields a research agent must capture for reliable source citations (e.g., title, canonical URL, publication date, author/publisher, snippet or full text) and how to compare whether an API result format supports those fields.</t>
        </is>
      </c>
      <c r="K12" s="15" t="n"/>
      <c r="L12" s="15" t="inlineStr">
        <is>
          <t>## Pricing per request
Exa’s pay-as-you-go search pricing depends on the endpoint type. [1] The `/search` endpoint with `type: lite` costs **$4 per 1,000 requests**, or **$0.004 per call**, and includes up to 10 results. [1] Each result beyond 10 costs an additional **$1 per 1,000 results**. [1] The `auto` and `fast` search types cost **$7 per 1,000 requests** (**$0.007 per call**), also include 10 results, and add the same $1 per 1,000 extra results plus **$1 per 1,000 pages** for AI-generated page summaries. `instant` search is priced at $4 per 1,000 requests with the same page-summary fee. [1] In short, Exa is the cheapest of the three at the request level when using `lite`, but costs can rise if you need many results per query or AI page summaries.
There is a documentation inconsistency worth noting: one Exa pricing page still lists a flat **$7 per 1,000 requests** and says new accounts receive **$20 in free credits**, while the current admin pricing page lists the Lite/$4 and Auto/$7 rates described above and a $10 monthly free grant. [2] The current API pricing should be checked before relying on the older page.
Tavily’s pay-as-you-go rate is **$0.008 per API credit**. [3] A basic search costs **1 credit**, so **$0.008 per request**; an advanced search costs **2 credits**, so **$0.016 per request**. [3] Monthly plans reduce the effective credit price: the Project plan is $30 for 4,000 credits, or **$0.0075 per credit**, and the Growth plan is $500 for 100,000 credits, or **$0.005 per credit**. [3]
Brave’s Search plan costs **$5 per 1,000 requests**, or **$0.005 per request**, across Web, LLM Context, Images, News, and Videos. [4] That plan includes 50 queries per second of capacity, Goggles, extra alternate snippets, and schema-enriched results. [5] Brave also has an Answers plan at **$4 per 1,000 web searches** plus **$5 per million input/output tokens**, with 2 queries per second. [5] On the AWS Marketplace, Brave’s “Data for AI” plan is listed at the same **$5 CPM**, with a 50 queries/second cap and no monthly query cap. [6]
## Free tier
Exa’s free tier gives every new team **$10 in credits on signup day**, and the balance resets to **$10 on the first day of each calendar month**. [7] Unused free credits do not accumulate. [7] A user’s first team also earns a **one-time $10 onboarding bonus** that does not expire. [7] Exa says the monthly $10 is enough for up to **2,500 Lite searches**, with no payment method required. [1] Free-plan limits include **10 QPS** and **50 active agent runs**. [7] Exa advertises more than $120 per year in free credits for free-plan users. [8]
Tavily’s free Researcher plan includes **1,000 API credits per month** at no cost and requires no credit card. [9] Credits reset on the first day of each month regardless of billing date. [9] At the basic-search rate, that is about **1,000 free basic searches per month**; advanced searches consume 2 credits, so they halve the free request count. [3][9]
Brave’s free allowance is more conditional. Each Brave Search API plan includes **$5 of free credit that renews monthly**, but the credit is tied to attributing Brave Search in the project’s website or about pages. [4] At the Search plan’s $5 per 1,000 requests rate, this is roughly **1,000 free Search requests per month**, or about 33 per day. [4] The attribution requirement may or may not be acceptable depending on how the research agent is shipped or presented.
## Result format and citation impact
**Exa** exposes title, URL, author, published date, full text, and highlights in its search-result schema. [10] The `title` and `url` fields are straightforward citation anchors. The `author` field is a string when available, or null. [10] The `publishedDate` is an estimate of the creation date parsed from HTML; the documentation describes it as `YYYY-MM-DD`, but the schema types it as `date-time` and shows an ISO timestamp example. [10] That makes Exa useful for citation, but its publication dates should be treated as approximate rather than authoritative. Exa’s `text` field provides full content text, and `highlights` provides extracted snippets with cosine-similarity scores. [10] For a research agent, that combination is strong: the agent can cite title and URL, often include an author, and use highlights or full text to verify a quote or supporting passage. The main weakness is the estimated, sometimes inconsistent publication date.
**Tavily** returns title, URL, content, and score for each result, with optional `raw_content`, favicon, and images. [11] It does **not** document a top-level author field. [11] A publication date is available only if `include_published_date` is set to true; the default is false. [12] That setting is automatically enabled for news topics. [12] Tavily describes `published_date` as its best estimate of when a source was published or last updated, so it can be later than the original publish date and returns null when no date is detectable. [12] Tavily’s `content` field is not simply the page’s first paragraph; it is extracted by Tavily’s AI and may contain several semantically relevant chunks joined by an ellipsis marker. [11][13] This is useful for relevance and for rough source context, but can complicate exact quotation because the snippets may be rearranged or discontinuous. Titles and URLs remain reliable citation anchors, but the lack of a first-class author field and the opt-in, estimated date are weaknesses for a strict citation workflow.
**Brave** provides a machine-readable `page_age` field, described as an ISO datetime of publication for web results, plus a human-readable `age` field. [14] Core per-result fields include title, URL, and description. [14] Brave can also return up to five extra snippets and a publisher profile object with name, URL, long name, and image, which helps with attribution. [14] Author information is not a simple top-level field; it appears through structured-data objects such as article or book metadata, or in raw schema.org data in the `schemas` field. That means author availability is inconsistent and depends on whether the source page exposes structured data. Brave’s main citation strengths are the clear page-age timestamp and publisher metadata. Its main weakness for a research agent is that it does not return full-text content in the standard result; the agent would often need to fetch the page separately if it must verify or quote beyond the description and extra snippets.
## Recommendation
For a research agent that must cite its sources, **Exa is the strongest default choice**, provided the agent is configured carefully. Its result format is the most citation-friendly of the three because title, URL, author, full text, and extracted highlights are all available. The `lite` endpoint is also the cheapest per request, and Exa’s free tier is the most generous for search volume.
The main caveat is that Exa’s publication date is an estimate, not a reliable bibliographic “published” date. A citation-hungry agent should treat `publishedDate` as approximate and, when precise source dates are mandatory, fetch the canonical page or use a secondary metadata source. The agent should also request the fields it actually needs rather than assuming every endpoint type returns the same metadata.
Tavily is a reasonable fallback if the agent prefers AI-extracted snippets and monthly credit simplicity, but its lack of an author field and opt-in estimated dates make citations thinner. Brave is best when clean page-age timestamps and publisher metadata matter more than full-text excerpts, but it is weaker for independent source verification because standard results lack full content. Overall, Exa offers the best balance of cost, free allowance, and citation-relevant result fields.
Sources:
[1] Pricing - Exa - https://exa.ai/docs/admin/pricing
[2] (untitled) - https://exa.ai/docs/reference/pricing
[3] Credits &amp; Pricing - Tavily Docs - https://docs.tavily.com/documentation/api-credits
[4] Brave launches most powerful search API for AI to date | Brave - https://brave.com/blog/most-powerful-search-api-for-ai/
[5] Brave Search API | Brave - https://brave.com/search/api/
[6] AWS Marketplace: Brave Search API - https://aws.amazon.com/marketplace/pp/prodview-qjlabherxghtq
[7] Billing and Rate Limits - Exa - https://exa.ai/docs/admin/billing
[8] Exa API Pricing | Pay-as-You-Go Plans for AI Search - https://exa.ai/pricing
[9] Tavily - https://www.tavily.com/pricing
[10] (untitled) - https://raw.githubusercontent.com/exa-labs/openapi-spec/refs/heads/master/exa-openapi-spec.yaml
[11] SDK Reference - Tavily Docs - https://docs.tavily.com/sdk/python/reference
[12] Tavily Search - Tavily Docs - https://docs.tavily.com/documentation/api-reference/endpoint/search
[13] (untitled) - https://docs.tavily.com/changelog
[14] skills/web-search/SKILL.md - https://github.com/brave/brave-search-skills/blob/main/skills/web-search/SKILL.md</t>
        </is>
      </c>
    </row>
    <row r="13" ht="150" customHeight="1">
      <c r="A13" s="14" t="inlineStr">
        <is>
          <t>hard-model-landscape</t>
        </is>
      </c>
      <c r="B13" s="14" t="inlineStr">
        <is>
          <t>Multi-part</t>
        </is>
      </c>
      <c r="C13" s="15" t="inlineStr">
        <is>
          <t>For an agent that plans, calls tools repeatedly, and writes long reports, compare DeepSeek V4, Claude, and one open-weight alternative on price, tool-calling reliability, and context window. Say which you would pick for the planning role and why.</t>
        </is>
      </c>
      <c r="D13" s="15" t="n">
        <v>2</v>
      </c>
      <c r="E13" s="15" t="inlineStr">
        <is>
          <t>The answer gives a strong, cited comparison for DeepSeek V4 and Qwen across price, tool-calling reliability, and context, but it does not actually address Claude on those dimensions beyond stating no evidence was found, so it falls short of the three-way comparison required.</t>
        </is>
      </c>
      <c r="F13" s="15" t="inlineStr">
        <is>
          <t>facts</t>
        </is>
      </c>
      <c r="G13" s="15" t="n"/>
      <c r="H13" s="15" t="n">
        <v>1</v>
      </c>
      <c r="I13" s="15" t="n">
        <v>35</v>
      </c>
      <c r="J13" s="15" t="inlineStr">
        <is>
          <t>t1 [neutral] Gather current API price per million input/output tokens, maximum context window, and tool-calling reliability evidence for DeepSeek V4 from official DeepSeek docs, reputable benchmarks such as BFCL or tau-bench, and recent reporting.
t2 [neutral] Gather current API price per million input/output tokens, maximum context window, and tool-calling reliability evidence for Anthropic Claude's most capable current API model for agentic planning and long reports. State clearly whether you are reporting Claude Opus, Sonnet, or another Claude variant.
t3 [neutral] Select one strong current open-weight model suitable for agentic planning and repeated tool calling, such as a top Qwen, Llama, or Mistral variant. State which model you picked and why, then gather its price, maximum context window, and tool-calling reliability evidence.</t>
        </is>
      </c>
      <c r="K13" s="15" t="n"/>
      <c r="L13" s="15" t="inlineStr">
        <is>
          <t>For this comparison, the open-weight alternative best covered by the evidence is **Qwen3-235B-A22B-Instruct-2507**. The evidence for **Claude** is thin in the retrieved findings, so I will flag that gap rather than invent a side-by-side comparison.
## Price
On DeepSeek’s official API pricing, **DeepSeek-V4-Flash** costs **$0.14 per 1M input tokens** on a cache miss and **$0.28 per 1M output tokens**, with cache-hit input at **$0.0028 per 1M**. **DeepSeek-V4-Pro** costs **$0.435 per 1M input tokens** on a cache miss and **$0.87 per 1M output tokens**, with cache-hit input at **$0.003625 per 1M**. [1] A reported promotional 75% discount on V4-Pro and a cut to cache-hit input pricing may improve that further, though I would treat the promotion as time-limited. [2]
The Qwen model is cheaper on some hosted routes. OpenRouter’s discounted route lists **$0.0875 per 1M input** and **$0.35 per 1M output**, with cache reads at **$0.0175 per 1M** and a 262K context window. [3] OpenRouter’s effective average pricing is **$0.09 in / $0.55 out**, and DeepInfra lists **$0.09 in / $0.55 out** with function calling supported. [4][5] Alibaba Cloud Model Studio is more expensive at **$0.23 in / $0.92 out**, and it exposes a shorter **131,072-token context window**. [6]
So Qwen is usually cheaper on input than DeepSeek-V4-Pro, but DeepSeek-V4-Flash has a lower output price than most Qwen routes. For cached input, DeepSeek’s cache-hit prices are very low.
No supported Claude pricing figures were available in the findings.
## Tool-calling reliability
**DeepSeek V4** has a design feature that matters for an agent that calls tools repeatedly: it uses an XML-based tool-call format with a dedicated `|DSML|` token. [7] The model card reports that this separates string parameters from structured parameters and reduces the escaping and parsing failures common with JSON-in-string tool calls. [7] DeepSeek also reports that reasoning content is preserved across user-message boundaries when the conversation includes tool calls, which is useful for keeping a coherent plan across many tool rounds. [7] However, I did not find a supported BFCL or tau-bench score for DeepSeek V4, so its tool-calling reliability is described mostly by design claims rather than independent benchmark numbers. The broader caveat that tool-calling benchmarks show high evaluator disagreement and score instability applies here. [8]
**Qwen3-235B-A22B-Instruct-2507** is a non-thinking model: it does not emit reasoning blocks, so planning must come from the prompt or a surrounding framework rather than a built-in reasoning mode. [9] Qwen’s guidance recommends pairing it with **Qwen-Agent**, which provides tool-calling templates and parsers. [9] The model’s reported multi-turn BFCL results were evaluated at 64K context using YaRN, so they do not describe 262K-token behavior. [10] On tau-bench-style multi-turn tasks, one set of supported scores shows **71.3 on TAU1-Retail** and **74.6 on TAU2-Retail**, but weaker airline and telecom scores: **44.0 on TAU1-Airline**, **50.0 on TAU2-Airline**, and **32.5 on TAU2-Telecom**. [9] A separate industrial benchmark reports conflicting TAU-2 numbers: **47.5 Airline**, **53.2 Telecom**, and **68.0 Retail**. The findings disagree materially, so exact Qwen multi-turn scores should be treated with caution.
One hosted route for Qwen on Amazon Bedrock is also notable for tool use: it supports client-side tool calling but **not server-side tool calling**, which is a real limitation for an agent that relies on the provider to execute tools directly. [11]
For **Claude**, no reliable tool-calling evidence was returned. A single unverified comparison mentioned a Claude Opus 4 non-thinking BFCL-v3 score of 60.1, but the label mapping was not established in the evidence, so I would not lean on that figure.
## Context window
Both DeepSeek V4 versions are described as having a **1M-token context window**, with DeepSeek stating that 1M context is now the default across its official services. [12] Cloudflare’s documentation lists the DeepSeek V4 Pro context window as exactly **1,048,576 tokens**. [13] The long-context caveat is retrieval quality: DeepSeek’s reported MRCR 8-needle accuracy remains above 0.82 through 256K tokens but falls to **0.59 at 1M tokens**. [7] That still gives a lot of useful working memory for long planning sessions, but it is not lossless at the full 1M length.
Qwen3-235B-A22B-Instruct-2507 has a native context length of **262,144 tokens**, extendable up to **1,010,000 tokens**. [9] In practice, the hosted routes differ sharply: OpenRouter and DeepInfra list 262K context, Amazon Bedrock lists 256K, and Alibaba lists only 131K. [3][5][6][11] Some hosted routes also have output caps that matter for long reports: Bedrock lists a **maximum output of 8K tokens**, and Alibaba lists **32,768 max output tokens**. [6][11] Those are significant constraints for a report-writing agent.
No supported Claude context-window figure was available.
## Which I would pick for the planning role
I would pick **DeepSeek-V4-Pro** for the planning role.
The reason is that a planner that calls tools repeatedly and writes long reports is exactly the kind of workload where long context, persistent reasoning across tool calls, and a tool-call format designed to reduce parsing failures matter most. DeepSeek V4 Pro combines a 1M-token context default with an XML-based tool-call format and reported reasoning preservation across tool rounds. [7][12] Its price is higher than Qwen’s cheapest input pricing, but the difference is not extreme, and the cheaper DeepSeek-V4-Flash remains an option for simpler agent work.
I would not choose Qwen for the planning role on most hosted APIs, despite its lower input price, because the hosted context is often 262K or less, Bedrock lacks server-side tool calling and caps output at 8K, and the model is non-thinking only. Qwen becomes more interesting if self-hosted at the extended 1M context with Qwen-Agent, but that adds operational complexity.
Claude cannot be a justified pick on the evidence gathered here, because the findings did not provide enough supported material on its price, context, or tool-calling reliability.
Sources:
[1] DeepSeek | API Platform - https://www.deepseek.com/en/platform/
[2] China's DeepSeek slashes prices for new AI model | Reuters - https://www.reuters.com/world/china/chinas-deepseek-slashes-prices-new-ai-model-2026-04-27/
[3] Qwen3 235B A22B Instruct 2507 - API Pricing &amp; Benchmarks | OpenRouter - https://openrouter.ai/qwen/qwen3-235b-a22b-2507
[4] Qwen: Qwen3 235B A22B Instruct 2507 – Effective Pricing | OpenRouter - https://openrouter.ai/qwen/qwen3-235b-a22b-2507/pricing
[5] Qwen3 235B A22B Instruct 2507 API - Documentation - DeepInfra - https://deepinfra.com/Qwen/Qwen3-235B-A22B-Instruct-2507/api
[6] qwen3-235b-a22b-instruct-2507 Model Info - Alibaba Cloud Model Studio - Alibaba Cloud Documentation Center - https://www.alibabacloud.com/help/en/model-studio/qwen3-235b-a22b-instruct-2507
[7] DeepSeek-V4: a million-token context that agents can actually use - https://huggingface.co/blog/deepseekv4
[8] Benchmarking the Benchmarks: A Validity Audit of Tool-Calling Evaluation - https://doi.org/10.48550/arxiv.2607.02577
[9] Qwen/Qwen3-235B-A22B-Instruct-2507 · Hugging Face - https://huggingface.co/Qwen/Qwen3-235B-A22B-Instruct-2507
[10] Qwen3 Technical Report - https://arxiv.org/html/2505.09388
[11] (untitled) - https://docs.aws.amazon.com/bedrock/latest/userguide/model-card-qwen-qwen3-235b-a22b-2507.html
[12] DeepSeek V4 Preview Release | DeepSeek API Docs - https://api-docs.deepseek.com/news/news260424
[13] deepseek-v4-pro-0813 (DeepSeek) · Cloudflare AI docs · Cloudflare Workers AI docs - https://developers.cloudflare.com/workers-ai/models/deepseek-v4-pro-0813/</t>
        </is>
      </c>
    </row>
    <row r="14" ht="150" customHeight="1">
      <c r="A14" s="14" t="inlineStr">
        <is>
          <t>hard-chinook-market</t>
        </is>
      </c>
      <c r="B14" s="14" t="inlineStr">
        <is>
          <t>Multi-part</t>
        </is>
      </c>
      <c r="C14" s="15" t="inlineStr">
        <is>
          <t>Find the top 3 countries by invoice revenue in the chinook database, then describe what the recorded-music market looks like in each of those countries today, and note where the database's ranking diverges from the real market.</t>
        </is>
      </c>
      <c r="D14" s="15" t="n">
        <v>3</v>
      </c>
      <c r="E14" s="15" t="inlineStr">
        <is>
          <t>The answer provides the Chinook top 3 with revenue figures, gives current cited market context for the US, Canada, and France separately, and explicitly compares the database ranking with the real-world IFPI top markets.</t>
        </is>
      </c>
      <c r="F14" s="15" t="inlineStr">
        <is>
          <t>facts</t>
        </is>
      </c>
      <c r="G14" s="15" t="n"/>
      <c r="H14" s="15" t="n">
        <v>3</v>
      </c>
      <c r="I14" s="15" t="n">
        <v>71</v>
      </c>
      <c r="J14" s="15" t="inlineStr">
        <is>
          <t>t1 [neutral] Query the internal SQL database 'chinook' to find the top 3 countries by total invoice revenue. Use the Invoice table: SUM(Invoice.Total) grouped by Invoice.BillingCountry, ordered descending, and return the top 3 countries with their revenue amounts.
t2 [neutral] Find the current global recorded-music market ranking by revenue from IFPI Global Music Report 2024 or 2025: list the top 10 countries and specifically note the global ranks of the United States, Canada, and France.
t3 [neutral] Describe the current recorded-music market in the United States: total revenue, recent growth trend, format split (streaming, physical, downloads, other), and key industry features, using RIAA, IFPI, or major music trade outlets for 2024-2025.
t4 [neutral] Describe the current recorded-music market in Canada: total revenue, recent growth trend, format split, and key industry features, using IFPI, Music Canada, Statistics Canada, or major music trade outlets for 2024-2025.
t5 [neutral] Describe the current recorded-music market in France: total revenue, recent growth trend, format split, and key industry features, using SNEP, IFPI, or major music trade outlets for 2024-2025.
r2-1 [neutral] Describe the current recorded-music market in France: 2024/2025 revenue size, growth rate, format breakdown (streaming, physical, downloads, performance/sync), and key market trends or characteristics, sufficient to compare with the USA and Canada profiles.
r3-1 [neutral] Describe France's recorded-music market today, including total revenue, recent growth, streaming/physical breakdown, and key market characteristics from current IFPI or local industry data.</t>
        </is>
      </c>
      <c r="K14" s="15" t="n"/>
      <c r="L14" s="15" t="inlineStr">
        <is>
          <t>In the Chinook database, aggregating invoice totals by billing country gives these three largest billing countries: [1]
- **United States — $523.06** [1]
- **Canada — $303.96** [1]
- **France — $195.10** [1]
Those are invoice-revenue totals from the database’s customer records, not measures of domestic music-market size.
## United States
The United States is the world’s largest recorded-music market and the one place where the Chinook ranking agrees with the real-world ranking. [1][2] In the latest IFPI global ranking, the US is first. [3] For full-year 2024, US recorded-music revenue was roughly $17.7 billion, marking the ninth consecutive growth year. [4] In the first half of 2025, revenue reached $5.589 billion on a wholesale basis, up only 0.9% year over year, suggesting a sharp slowdown from earlier growth rates. [5]
Streaming remains overwhelmingly dominant. [5][6] In the first half of 2025, streaming generated $4.678 billion, up 2.3%, and accounted for 84% of US recorded-music revenue. [5] Paid subscription accounts reached 105.3 million, up 6.4% year over year. [5] Physical revenue declined 5.9% in that period, but vinyl still made up more than three-quarters of physical revenue. [5] The US also has unusual global reach: roughly one in three streams worldwide is of an American artist, and US music exports are estimated at $5.6 billion, more than the next six countries combined. [5]
## Canada
Canada is a much smaller recorded-music market than Chinook’s second-place invoice total might imply. In the latest IFPI ranking, Canada is ninth globally, down from eighth in the previous year’s ranking. [3] Canada’s recorded-music market grew 5.6% in 2025 to CAD$957.9 million, its eleventh consecutive year of growth. [7]
Streaming is the main driver: it generated CAD$747 million in 2025, up 4.5%. [7] Subscription streaming contributed CAD$598.5 million, up 3.4%, while ad-supported audio and video streaming rose 9.4% to CAD$148.3 million. [7] Physical revenue was a bright spot, rising 15.9% to CAD$122.2 million, led by vinyl. [7] Performance rights and synchronization revenue also grew. [7] Canada accounts for about 3.3% of global streaming volume and is the largest rock market outside the United States. [8] One caution: the 2025 figure is reported in Canadian dollars, while earlier IFPI reporting for Canada used US dollars, so the apparent jump from the 2024 figure of US$660.3 million is not directly comparable. [7][9][10]
## France
France is a substantial but second-tier global music market. [2][7] IFPI ranks France sixth worldwide. [7] In 2025, the French recorded-music market reached €1.071 billion, marking a tenth consecutive year of growth. [11]
Streaming is the core of the market: it brought in €702 million, up 5.7%, and accounted for 65.5% of total recorded-music revenue. [11][12] Paid subscription streaming generated €553 million, up 5.9%. [11] Digital revenue overall was €711 million, up 5.4%. [13] Physical formats also performed unusually well: physical revenue rose 5% to €205 million, or 19.1% of the market, its best performance in 25 years outside the post-COVID period. [12][14] Vinyl grew 14.8% to €113 million, crossing €100 million for the first time. [11] CDs fell slightly to €89 million but remained the volume leader. [11]
France recorded 165 billion streams in 2025, up 10%, with 122 billion from paid accounts and 31 billion from free accounts. [12] There were 12.6 million streaming subscriptions. [13] Paid streaming penetration remains relatively low at 27.1%, below markets such as the UK, Germany, and the US. [11] French-produced artists account for about three-quarters of Top 200 volumes and nearly two-thirds of new entries in the top 100,000. [14] In real terms, the French market is still well below its 2002 peak: about 80% of the peak in nominal euros, but only about 56% after adjusting for inflation. [12]
## Where Chinook diverges from the real market
The main divergence is that Chinook heavily overranks Canada and France relative to their actual global market positions. The latest IFPI top ten is: [3]
1. United States  
2. Japan  
3. United Kingdom  
4. China  
5. Germany  
6. France  
7. South Korea  
8. Brazil  
9. Canada  
10. Mexico  
So the real-world top three is the United States, Japan, and the United Kingdom. [3] Chinook has the United States first, which matches reality, but puts Canada second and France third. [1][3] In the actual recorded-music market, Canada sits around ninth and France around sixth. [3][7] Japan and the UK, both top-three global markets, do not appear in Chinook’s top three billing countries at all. [1][3] The Chinook ranking therefore reflects its own customer and invoice data rather than the structure of today’s recorded-music market.
Sources:
[1] internal database (chinook)
[2] GLOBAL MUSIC REPORT 2025 - https://www.ifpi.org/wp-content/uploads/2024/03/GMR2025_SOTI.pdf
[3] GLOBAL MUSIC REPORT - https://www.ifpi.org/wp-content/uploads/2026/03/GMR2026_SOTI.pdf
[4] RIAA 2024 Music Report: Revenue Up 3% as Streaming Subs, Vinyl Grow - https://www.billboard.com/pro/riaa-2024-year-end-music-report-streaming-vinyl-revenue/
[5] MUSIC - https://www.riaa.com/wp-content/uploads/2025/09/RIAA-Mid-Year-Revenue-2025.pdf
[6] RIAA 2024 YEAR-END - https://www.riaa.com/wp-content/uploads/2025/03/RIAA-2024Year-End-Revenue-Report.pdf
[7] IFPI's Global Music Report 2026 highlights renewed growth ... - https://musiccanada.com/news/ifpis-global-music-report-2026-highlights-renewed-growth-in-canadas-music-market/
[8] Luminate's year-end report of music in 2025 is here | Alan Cross - https://www.ajournalofmusicalthings.com/luminates-year-end-report-of-music-in-2025-is-here/
[9] IFPI’s Global Music Report 2025 reveals tenth consecutive year of growth - Music Canada - https://musiccanada.com/news/ifpis-global-music-report-2025-reveals-tenth-consecutive-year-of-growth/
[10] Canada’s Recorded Music Revenues Grow for the 11th Straight Year: IFPI’s Global Music Report 2026 - https://ca.billboard.com/business/business-news/ifpi-2026-global-music-report
[11] France’s recorded music revenues hit $1.21B in 2025, up 3.9% YoY; subscription streaming revenues grew 5.9% YoY - Music Business Worldwide - https://www.musicbusinessworldwide.com/frances-recorded-music-revenues-hit-1-21bn-in-2025-up-3-9-yoy-subscription-streaming-revenues-grew-5-9-yoy/
[12] Le vinyle et le streaming musical gratuit en forte hausse en France en 2025 - Billboard France - https://fr.billboard.com/le-vinyle-et-le-streaming-musical-gratuit-en-forte-hausse-en-france-en-2025/
[13] Marché de la musique en France : les 10 infos à retenir du bilan 2025 du SNEP - https://www.chartsinfrance.net/actualite/news-135780.html
[14] BILAN 2025 DU MARCHÉ DE LA MUSIQUE ENREGISTRÉE - SNEP - https://snepmusique.com/communiques-dossiers-de-presse/bilan-2025-snep/</t>
        </is>
      </c>
    </row>
    <row r="15" ht="150" customHeight="1">
      <c r="A15" s="14" t="inlineStr">
        <is>
          <t>hard-mcp-timeline</t>
        </is>
      </c>
      <c r="B15" s="14" t="inlineStr">
        <is>
          <t>Multi-part</t>
        </is>
      </c>
      <c r="C15" s="15" t="inlineStr">
        <is>
          <t>Trace how the Model Context Protocol went from launch to its 2026 state: what drove adoption, how large the ecosystem got, and what the 2026-07-28 specification changed for people building agents.</t>
        </is>
      </c>
      <c r="D15" s="15" t="n">
        <v>3</v>
      </c>
      <c r="E15" s="15" t="inlineStr">
        <is>
          <t>The answer thoroughly traces launch, early adoption drivers, quantified ecosystem growth, and the 2026-07-28 spec changes, weaving them into a causal account with extensive citations.</t>
        </is>
      </c>
      <c r="F15" s="15" t="inlineStr">
        <is>
          <t>facts</t>
        </is>
      </c>
      <c r="G15" s="15" t="n"/>
      <c r="H15" s="15" t="n">
        <v>1</v>
      </c>
      <c r="I15" s="15" t="n">
        <v>110</v>
      </c>
      <c r="J15" s="15" t="inlineStr">
        <is>
          <t>t1 [neutral] Trace the Model Context Protocol from its launch by Anthropic in November 2024 through 2026, including major version milestones, governance/standards changes, and key adoption timeline events. Use official Anthropic/MCP sources, spec changelogs, and major tech press.
t2 [neutral] Identify what drove MCP adoption from launch through 2026 across AI model providers, tool developers, and enterprises: official support from major AI vendors, enterprise integration needs, developer experience, standardization benefits, and network effects. Use announcements, industry analyses, and news coverage.
t3 [neutral] Estimate the size and composition of the MCP ecosystem as of 2026: number of MCP servers, client applications, language SDKs, connectors, integrations, and community/contributor metrics. Use official directories/registries, GitHub, industry surveys, and recent 2026 reports.
t4 [neutral] Determine what changed in the Model Context Protocol specification on 2026-07-28 for developers building agents: new or modified primitives, authentication, streaming, sampling, elicitation, resource/tool discovery, version negotiation, breaking changes, and migration guidance. Use the official specification, changelog, and developer commentary.</t>
        </is>
      </c>
      <c r="K15" s="15" t="n"/>
      <c r="L15" s="15" t="inlineStr">
        <is>
          <t>The Model Context Protocol began as an internal Anthropic project by David Soria Parra and Justin Spahr-Summers before it became a public standard. [1][2] Anthropic open-sourced it on November 25, 2024 as a way to connect AI assistants to the systems where data lives, including content repositories, business tools, and development environments. [1] The launch shipped three things: the specification and SDKs, local MCP server support in the Claude Desktop apps, and an open-source repository of MCP servers. [1] Early adopters included Block and Apollo, while development-tool companies such as Zed, Replit, Codeium, and Sourcegraph were also working with the protocol. [1]
Adoption accelerated through a mix of credible industry endorsements, platform support, and practical utility. Microsoft announced Copilot Studio support on March 19, 2025. [2] OpenAI said it would add MCP support across its products, starting with its Agents SDK, and Google DeepMind said it would add support to Gemini models and the Gemini SDK. Google DeepMind CEO Demis Hassabis described MCP as “rapidly becoming an open standard for the AI agentic era.” In May 2025, Microsoft and GitHub joined MCP’s steering committee and promised broad first-party support across platforms including Azure and Windows 11. [3] Microsoft also added native MCP support to Windows and launched Windows AI Foundry. Anthropic CPO Mike Krieger called MCP a “thriving open standard with thousands of integrations,” arguing that LLMs are most useful when connected to the data and software users already have. [4]
Part of the adoption story was also that MCP lowered the technical barrier for connecting chatbots to other tools. [5] Early reporting noted that users with modest technical skills could connect conversational bots to their other digital tools if they were comfortable running software in a terminal. [5] Analyses of server popularity found network effects at work: developers gravitated toward servers solving universal problems such as web browsing, database access, and integrations with widely used platforms like GitHub, Figma, and Blender. [6] Three categories—Database &amp; Search, Computer and Web Automation, and Software Engineering—received 72.6% of all GitHub stars in one large MCP server dataset. [6] An industry analysis argued that Microsoft’s formal participation, given its Azure, Copilot, and Office 365 footprint, marked a shift from developer enthusiasm to enterprise relevance. [7]
Governance also matured. The 2025-11-25 revision, released one year after launch, added governance and process updates, including formalizing MCP’s governance structure, establishing shared community communication practices, formalizing working groups and interest groups, and creating an SDK tiering system. [8][9] On December 9, 2025, Anthropic donated MCP to the Agentic AI Foundation, a directed fund under the Linux Foundation co-founded by Anthropic, Block, and OpenAI, with support from Google, Microsoft, AWS, Cloudflare, and Bloomberg. [10] MCP became a founding project of the AAIF alongside Block’s goose and OpenAI’s AGENTS.md. [11] The stated governance model remained unchanged, with maintainers continuing to prioritize community input and transparent decision-making. [10]
By 2026, the ecosystem had grown dramatically, but size estimates varied widely depending on the registry, date, and counting method. One count showed MCP servers growing from 3 published implementations in October 2024 to 6,878 by November 2025. [12] An April 2026 field report counted more than 12,000 servers spread across at least 33 registries, marketplaces, and directories, with more than 300 MCP-compatible clients. [13] Dominion Observatory’s June 2026 deduplicated index counted 22,561 servers across major registries; of the 14,497 servers with a real category, 46% were code or developer tooling, while about 36% of servers were uncategorized or loosely categorized. [14] That census found independent behavioral or uptime data for only 318 servers, about 1.4% of the indexed ecosystem. [14]
Later counts were larger. In September 2026, mcphq reported 38,107 MCP servers ever published and 29,641 actively maintained. [15] Its dataset covered 22,675 unique repositories with about 2.2 million total GitHub stars, but 59% of actively maintained repositories had zero stars, and only 39 had more than 10,000 stars. [15] Among 13,300 installable MCP packages tracked by mcphq, there were about 122 million monthly package installs, but only 188 packages cleared 10,000 monthly installs and only 45 cleared 100,000. [15] A Major Labs scan in October 2026 counted 46,303 listings in the official MCP registry and roughly 89,619 distinct server repositories advertised across all sources, plus 15,065 remote-only servers. [16] A deep scan of 3,700 servers found 2,771 maintained within 180 days and only about 1,200 genuinely evaluable servers. [16]
There were also conflicting counts. One API count on September 29, 2026 found 37,186 distinct servers through the official registry API, while another analysis of the official registry reported 23,828 servers, of which 44.6% had no remote address and shipped as local packages. [17] PulseMCP was reported at 21,729 servers in one crawl and displayed 21,659 servers in another directory listing. These differences reflect timing, inclusion of local packages, and deduplication choices rather than a single authoritative number. A separate late-2026 scoreboard reported more than 90,000 open-source MCP servers exposing more than 630,000 tools, but only 0.28% earned an A grade. [18]
Quality and concentration patterns also emerged. A 2025 crawl of six MCP marketplaces aggregated 17,630 raw entries and found 8,060 valid servers and 341 valid clients; more than half of listed projects were invalid or low-value. [19] Among the valid clients, 80.9% supported only a single server connection. [19] Most MCP servers supported both read and write operations, suggesting developers wanted agents to act on context rather than just consume it. [6] Software development accounted for 67% of published agent tools and 90% of MCP server downloads in one study. [20] Analyses also found file-system-related bugs were the most common MCP reference-server issue at 21.32%, followed by data validation and type issues at 13.97%. [21]
The 2026-07-28 specification was the largest protocol revision since launch. It moved MCP toward a stateless model by removing the `initialize`/`notifications/initialized` handshake. Every request now carries its protocol version and client capabilities in `_meta`. A new `server/discover` RPC is required for servers to advertise supported protocol versions, capabilities, and identity. [22] Protocol-level sessions and the `Mcp-Session-Id` header were removed from Streamable HTTP; list endpoints no longer vary per connection, and servers that need cross-call state must use explicit server-minted handles passed as ordinary tool arguments. [22] The HTTP GET endpoint and `resources/subscribe`/`resources/unsubscribe` were replaced by `subscriptions/listen`, a single long-lived POST-response stream with opt-in notification types. [22]
Across the specification, the revision introduced more explicit request/response patterns. Multi Round-Trip Requests let servers return an `InputRequiredResult` when they need more information, with clients retrying the original call with `inputResponses`. All results now carry a required `resultType` field, either `complete` or `input_required`, and clients must treat results from older servers without that field as `complete`. [22] Elicitation and sampling follow this pattern. Sampling is deprecated and scheduled for removal, though it still supports tool use through a `tools` array and optional `toolChoice`, gated by the client’s `sampling.tools` capability. [23]
Tasks moved out of the core protocol into an official `io.modelcontextprotocol/tasks` extension. [22] The redesigned extension replaces blocking `tasks/result` calls with polling via `tasks/get`, adds `tasks/update` for client-to-server input, removes `tasks/list`, and lets servers return task handles without per-request opt-in. [22] More broadly, the revision introduced a governed extensions framework, with Tasks joining existing extensions such as MCP Apps and Enterprise Managed Authorization. [24]
There were also meaningful changes to caching, routing, and authorization. List/read responses now carry `ttlMs` and `cacheScope` cache hints. Streamable HTTP requests must include `Mcp-Method` and `Mcp-Name` headers so gateways, rate limiters, and WAFs can route without parsing JSON bodies. Authorization servers should return the `iss` parameter per RFC 9207, and clients must validate it before redeeming an authorization code. [24] Clients set `application_type` during Dynamic Client Registration so desktop and CLI clients are not rejected for using `localhost` redirects. [24] Client credentials are bound to the authorization server that minted them. [24] Dynamic Client Registration itself is formally deprecated in favor of Client ID Metadata Documents, but it continues to work for backward compatibility. [24]
Some parts of the logging and roots cleanup are reported inconsistently. One account says `ping`, `logging/setLevel`, and `notifications/roots/list_changed` were removed, with log level set per request via `io.modelcontextprotocol/logLevel`. [22] Another account says roots, sampling, and logging were only deprecated as of 2026-07-28, with the methods, types, and capability flags continuing to work in that release and for at least a year. [25] The findings disagree on whether these are removed or merely deprecated, so builders should treat that area as uncertain. What is clear is that standard JSON-RPC error codes replace MCP-custom codes: a missing resource now returns `-32602` instead of the old MCP-custom `-32002`, requiring clients that match on the literal value to update. [25]
For people building agents, the practical rollout was designed to be gradual. Existing deployments break neither immediately nor on July 28 itself; that date is when the normative specification text was published, not a switch-off. Clients that speak 2026-07-28 fall back to the old `initialize` handshake when they reach a server on 2025-11-25 or earlier. [25] SDK behavior differs by language: TypeScript v2 does not emit 2026-07-28 payloads by default and requires an explicit transport-level opt-in; Go also requires an explicit wire-level opt-in; Python v2 servers can answer both protocol revisions from one endpoint; and the C# preview’s HTTP transport defaults to the new stateless mode. [25] The Rust SDK implements the stable 2026-07-28 specification while remaining compatible with 2025-11-25 and earlier. [26] TypeScript v2 replaces per-session server state with a `requestState` mechanism and provides per-era wire codecs and a legacy shim for `input_required`. [27]
The overall trajectory from late 2024 to 2026 is one of rapid standardization, enormous server growth, and a decisive push toward enterprise readiness—but also of uneven quality, concentration among a small number of widely used servers, and a protocol revision that substantially changes how agents talk to servers while trying to preserve a backwards-compatible path.
Sources:
[1] Introducing the Model Context Protocol \ Anthropic - https://www.anthropic.com/news/model-context-protocol
[2] AI companies want a new internet — and they think they’ve found the key | The Verge - https://www.theverge.com/ai-artificial-intelligence/841156/ai-companies-aaif-anthropic-mcp-model-context-protocol
[3] Google to embrace Anthropic’s standard for connecting AI models to data | TechCrunch - https://techcrunch.com/2025/04/09/google-says-itll-embrace-anthropics-standard-for-connecting-ai-models-to-data/
[4] OpenAI adopts rival Anthropic's standard for connecting AI models to data | TechCrunch - https://techcrunch.com/2025/03/26/openai-adopts-rival-anthropics-standard-for-connecting-ai-models-to-data/
[5] Model Context Protocol is an open source standard supported by OpenAI, Microsoft, Google - https://www.axios.com/2025/04/17/model-context-protocol-anthropic-open-source
[6] MCP in Practice - https://ssrc-static.s3.us-east-1.amazonaws.com/MCP-In-Practice-Rosenblat-Strauss-OReilly-Moore_SSRC_08182025.pdf
[7] MCP Is the New Control Point in AI—Are CIOs Ready for the Lock-In Battle? - https://futurumgroup.com/insights/mcp-is-the-new-control-point-in-ai-are-cios-ready-for-the-lock-in-battle/
[8] Key Changes - https://modelcontextprotocol.io/specification/2025-11-25/changelog
[9] Releases · modelcontextprotocol/modelcontextprotocol · GitHub - https://github.com/modelcontextprotocol/modelcontextprotocol/releases
[10] Donating the Model Context Protocol and establishing the Agentic AI Foundation \ Anthropic - https://www.anthropic.com/news/donating-the-model-context-protocol-and-establishing-of-the-agentic-ai-foundation
[11] Linux Foundation Announces the Formation of the Agentic AI Foundation (AAIF), Anchored by New Project Contributions Including Model Context Protocol (MCP), goose and AGENTS.md - https://www.linuxfoundation.org/press/linux-foundation-announces-the-formation-of-the-agentic-ai-foundation
[12] MCP Servers: What We Found When We Actually Looked - https://www.clutch.security/blog/mcp-servers-what-we-found-when-we-actually-looked
[13] MCP Marketplaces in April 2026: A Field Report from 33 Platforms - DEV Community - https://dev.to/studiomeyer_io/mcp-marketplaces-in-april-2026-a-field-report-from-33-platforms-33pn
[14] State of MCP Runtime Trust — June 2026: only 18 of 22,561 servers can be independently verified | MCP Atlas - https://dominionobservatory.com/atlas/report
[15] The State of MCP (September 2026) - what's built, used &amp; growing - https://mcphq.ai/state-of-mcp
[16] State of MCP: open data | Major Labs - https://majorlabs.co/data
[17] MCP Directories Compared: Where to Find MCP Servers in 2026 | MCP Hunter - https://mcp-hunter.com/compare/mcp-server-directories
[18] ToolBench Rescan: 90,000 MCP Servers Scored - https://www.arcade.dev/blog/toolbench-rescan-90000-mcp-servers/
[19] A Measurement Study of Model Context Protocol Ecosystem - https://arxiv.org/html/2509.25292v3
[20] How are AI agents used? Evidence from 177,000 MCP tools - http://arxiv.org/abs/2603.23802
[21] Developer Challenges in the Adoption of Model Context Protocol in AI Agent Development - https://doi.org/10.1145/3786161.3788462
[22] docs/specification/2026-07-28/changelog.mdx - https://github.com/modelcontextprotocol/modelcontextprotocol/blob/main/docs/specification/2026-07-28/changelog.mdx
[23] Understanding MCP clients - Model Context Protocol - https://modelcontextprotocol.io/docs/2026-07-28/learn/client-concepts
[24] The 2026-07-28 Specification | Model Context Protocol Blog - https://blog.modelcontextprotocol.io/posts/2026-07-28/
[25] Beta SDKs for the 2026-07-28 MCP Spec Release Candidate Are Here | Model Context Protocol Blog - https://blog.modelcontextprotocol.io/posts/sdk-betas-2026-07-28/
[26] README.md - https://github.com/modelcontextprotocol/rust-sdk/blob/830e088d/README.md
[27] docs/migration/support-2026-07-28.md - https://github.com/modelcontextprotocol/typescript-sdk/blob/main/docs/migration/support-2026-07-28.md</t>
        </is>
      </c>
    </row>
    <row r="16" ht="150" customHeight="1">
      <c r="A16" s="14" t="inlineStr">
        <is>
          <t>hard-lending-compare</t>
        </is>
      </c>
      <c r="B16" s="14" t="inlineStr">
        <is>
          <t>Multi-part</t>
        </is>
      </c>
      <c r="C16" s="15" t="inlineStr">
        <is>
          <t>Compare the rise in fintech lending defaults in Indonesia with the situation in at least two other Asian markets. Cover the default figures, what regulators blamed, and what each regulator did about it.</t>
        </is>
      </c>
      <c r="D16" s="15" t="n">
        <v>3</v>
      </c>
      <c r="E16" s="15" t="inlineStr">
        <is>
          <t>The answer thoroughly covers Indonesia, India, and the Philippines, giving cited default figures, stated causes, and regulatory responses for each, fully meeting the criterion.</t>
        </is>
      </c>
      <c r="F16" s="15" t="inlineStr">
        <is>
          <t>facts</t>
        </is>
      </c>
      <c r="G16" s="15" t="n"/>
      <c r="H16" s="15" t="n">
        <v>3</v>
      </c>
      <c r="I16" s="15" t="n">
        <v>112</v>
      </c>
      <c r="J16" s="15" t="inlineStr">
        <is>
          <t>t1 [neutral] Find Indonesia's fintech/P2P lending default rates and non-performing loan figures for 2023-2025 from OJK and major outlets; identify what OJK blamed for the rise and what measures OJK has taken, such as capital requirements, write-off rules, lending limits, or regulatory changes.
t2 [neutral] Find India's fintech/digital lending default rates and unsecured personal loan NPL figures for 2023-2025 from RBI, financial stability reports, and major outlets; identify what RBI blamed and what actions RBI took, including risk-weight changes, lending restrictions, or digital lending rules.
t3 [neutral] Find the Philippines' online/digital lending default figures and NPL data for 2023-2025 from SEC, BSP, and major outlets; identify what Philippine regulators blamed and what they did, such as interest-rate caps, shutdowns of unlicensed lenders, or lending-app rules.
t4 [neutral] Find cross-country reports from ADB, World Bank, IMF, or market research firms comparing fintech/digital lending default trends and regulatory responses across Asian markets, especially Indonesia, India, and the Philippines.
r2-1 [neutral] Find India-specific fintech/digital lending default figures (e.g., digital-lending NBFC/P2P platform NPLs or RBI-reported digital loan defaults) and the RBI's stated reasons for any rise, so India can be a comparator alongside the Philippines.
r3-1 [neutral] Find Philippine fintech/online-lending default or delinquency figures showing a trend over time, so the report can establish whether defaults rose and compare them with Indonesia and India.
r3-2 [neutral] Identify what Philippine regulators (BSP and/or SEC) explicitly blamed for rising fintech/online-lending defaults, such as unregistered lenders, weak underwriting, high interest rates, or borrower over-indebtedness.
r3-3 [neutral] Identify any BSP regulatory measures or policy actions responding to rising fintech/online-lending defaults, separate from SEC enforcement actions.</t>
        </is>
      </c>
      <c r="K16" s="15" t="n"/>
      <c r="L16" s="15" t="inlineStr">
        <is>
          <t>**Indonesia: a rising but still below-threshold P2P default rate**
Indonesia’s headline measure for fintech lending distress is TWP90, the share of P2P loans more than 90 days past due. The figures show defaults drifting upward after a period of improvement. INDEF, citing OJK data, put TWP90 at 3.36% in 2023, up 0.54 percentage points from 2.82% the previous month, though 2024 was described as a declining trend. [1] OJK monthly figures show 2.95% in January 2024 and 2.60% in December 2024. [2] Early 2025 numbers are not entirely consistent: one OJK-based summary put Q1 2025 in a 2.5–2.7% range, while separate OJK figures show February 2025 at 2.78% and March 2025 at 2.77%. [2][3] The broad picture is that early-2025 TWP90 was around 2.6–2.8%.
From there, the ratio climbed. OJK reported 3.19% in May 2025, 4.33% in November 2025—up from 2.52% a year earlier—4.32% in December 2025, and 4.38% in January 2026, up 69.11% from 2.59% a year before. [4][5][6][7] Even at these levels, OJK stressed that industry TWP90 remained below its 5% safe threshold. [5] However, the number of P2P lenders above that threshold rose: 20 in February 2025, 23 in May 2025, and 24 in November 2025. [3][5][6] At end-Q1 2025, about 789,900 individual P2P borrower accounts were in default, with a total default value of Rp1.65 trillion. [2] OJK said troubled funding was dominated by borrowers aged 19–34. [3] A comparative study added that 52.01% of problem borrowers were in that age group. [8] World Bank research also found that borrowers whose first loan came from a digital lender had default rates 5–7 percentage points higher than borrowers starting with non-fintech credit, with elevated risk persisting even after they moved to conventional loans. [9]
OJK attributed the May 2025 increase partly to rising problematic funding, and the January 2026 rise partly to declining repayment ability among some borrowers. [5][7] In November 2025, it noted that the 24 operators with TWP90 above 5% were dominated by the productive segment. [6]
On the regulatory side, OJK used several tools. It set daily interest caps through SEOJK 19/2023: productive loans at 0.10% per day in 2024–2025 and 0.067% in 2026; consumptive loans at 0.30% in 2024, 0.20% in 2025, and 0.10% in 2026. [1] SEOJK 19/2025 required direct disbursement to borrowers through escrow accounts, stronger credit scoring and risk management, and a rule preventing borrowers from obtaining funding from more than three P2P providers. [10] OJK refined the main P2P lending framework through POJK 40/2024 and prepared an amended circular to update SEOJK 19/2023. [11] It also pursued enforcement: 661 sanctions on online loan operators in 2024 and four business license revocation letters. [11] It revoked the licences of TaniFund and Investree for failing minimum-equity and supervision requirements. [11] OJK said it would require strictly monitored action plans from high-TWP90 lenders and could impose administrative sanctions such as halting new loan disbursement or restricting new lenders. [6] As of February 2026, ten providers had not met the Rp12.5 billion minimum equity requirement, and all had submitted action plans involving paid-in capital increases, strategic investors, or mergers. [7] A draft amendment to POJK 40/2024 would classify P2P funding as bad only after 180 calendar days late, rather than 90 days, but no effective date was published. [12]
**India: stable banks, elevated fintech small-ticket stress**
India’s default picture is different because the banking system as a whole remained strong. The RBI’s June 2025 Financial Stability Report described scheduled commercial banks as having multi-decadal low non-performing loans and strong earnings. [13] The stress was concentrated in unsecured retail and fintech small-ticket lending. [14][15][16]
FACE data showed fintech personal loans overdue by more than 90 days rose to 3.6% at end-March 2025, the highest in six quarters. [16] Delinquency was highest in Tier-3 cities and beyond at 4.2%, followed by rural areas at 4.1% and semi-urban regions at 3.8%. [16] By age, borrowers under 25 accounted for 6.1% of delinquent loans, while the 26–35 group contributed 3.6%. [16] RBI data indicated fintech NBFCs had a 51.5% share of personal loans below ₹50,000, and around 10% of borrowers with a personal loan under ₹50,000 had an overdue personal loan. [17]
Unsecured retail stress showed up clearly in banking data. Unsecured loans accounted for 51.9% of fresh retail NPA accretion as of end-September 2024. [14] Unsecured retail lending growth moderated from 27% in September 2021 to 15.6% in September 2024, but unsecured retail loans still made up 25% of all retail loans and 8.3% of total gross advances. [14][18] Private banks accounted for 78.9% of fresh slippages in unsecured retail loans in the second half of FY25, public sector banks 11.3%, and small finance banks 6.4%. [18] Among bank groups, small finance banks had an unsecured GNPA ratio of 4.7%, an overall GNPA ratio of 2.7%, and an SMA ratio of 3.6%. [14] The RBI also flagged a sharp rise in write-offs, especially among private banks, warning that it could partly mask worsening asset quality and diluted underwriting standards. [14] It noted that upgradation was declining and slippages from SMA-2 to NPAs were rising. [14]
The size of India’s fintech lending market is reported inconsistently across sources. FACE data said fintech NBFCs held a 74% share of India’s personal loan market by volume—10.9 crore loans—and a 12% share by value at ₹1.06 lakh crore as of March 2025. [16] Another FACE figure for the same date put fintech loan outstanding at ₹73,311 crore across 4.59 crore loans, with an average ticket size of ₹9,786. [16] These two accounts disagree and should be read with caution.
The RBI blamed or highlighted several factors. It had earlier flagged high growth in consumer credit and increasing NBFC dependence on bank borrowings in mid-2023. [19] Its Financial Stability Report pointed to write-offs potentially masking worsening asset quality and dilution in underwriting. [14] The RBI’s May 2025 Digital Lending Directions cited concerns about unbridled third-party engagement, mis-selling, data privacy breaches, unfair business conduct, exorbitant interest rates, and unethical recovery practices. [20] It also flagged elevated delinquencies in some loan pools sourced by fintechs, leading to higher default-loss-guarantee payouts and pressure on partner NBFCs’ asset quality. [21]
On policy, the RBI’s main response began with the November 16, 2023 circular raising risk weights on consumer credit including personal loans by 25 percentage points to 125%, excluding housing, education, vehicle, and gold-backed loans. [19] It raised risk weights on bank lending to NBFCs by 25 percentage points where the existing rating-based risk weight was below 100%, excluding housing finance companies and priority-sector-eligible NBFC loans. [19] It required regulated entities to set board-approved limits for all unsecured consumer credit exposures and to treat top-up loans against depreciating movable assets, such as vehicles, as unsecured. [19] The May 2025 Digital Lending Directions required creditworthiness assessment before lending, barred automatic credit-limit increases without an explicit borrower request, and imposed a cooling-off period of at least one day. [20] The RBI also used targeted supervisory pressure: in April it asked at least four non-bank lenders with high delinquencies in default-loss-guarantee-backed loans to provide for all loan pools sourced through third-party digital platforms under expected credit loss norms, regardless of DLG arrangements. [21] Later, the RBI reversed the risk weight on NBFC loans from 125% back to 100% and set microfinance loans at 100%, while unsecured retail loan risk weights remained elevated. [22]
**Philippines: low banking-system NPLs but severe digital-bank stress**
The Philippines’ overall banking system NPL ratio remained low: 3.30% in March 2025, down to 3.1% by end-2025. [23][24] But consumer and digital lending showed more serious stress. The non-performing consumer loan ratio was 5.4% in March 2025, up from 5.3% in December 2024 but below 5.8% a year earlier. [23] Total non-performing consumer loans reached ₱172.5 billion in March 2025, up 10.5% year-on-year, driven largely by a 43.5% surge in non-performing credit card receivables. [23] Moody’s data put the credit card NPL ratio at 4.4% as of December 2024, up from 3.9% in 2022, and the personal loan NPL ratio at 5.3%, up from 4.9%. [25]
Digital banks were the sharpest stress point. Their average gross NPL ratio rose from 7.2% in March 2023 to 14.5% in December 2023. [26] The sector’s highest NPL ratio was 25.33% at end-March 2024. [27] By May 2025, digital banks’ gross NPL ratio had fallen to 7.15% from 9.5% a month earlier and 20.64% a year earlier; by July 2025 it was 6.98%, still more than double the industry ratio of 3.4%. [27][28] Digital banks’ past-due ratio was 13.50% in July 2025, against an industry average of 4.36%. [28] Some of the improvement may reflect the portfolio expanding from a very low base: digital banks’ total gross loan portfolio more than doubled to ₱54.097 billion in May 2025 from ₱23.92 billion a year earlier. [27]
Fintech-specific delinquency data also pointed to serious problems. Credit-industry data showed delinquency among Philippine online cash-loan borrowers was double-digit across the board: borrowers who had not taken a cash loan in the prior 12 months had a 12% delinquency rate, which doubled to at least 30% once they took one. [29] Personal loan and buy-now-pay-later bookings rose 16% year-on-year to ₱853 billion in 2024, while new credit card bookings fell 6.6% to ₱519 billion. [29] One review of 40 Philippine online lending apps found only 10 were registered with the SEC, and reported that high interest rates, hidden charges, and aggressive collection were more prevalent among unregistered apps. [30]
On blame, the Philippine findings are thinner on explicit regulator attribution. The BSP’s data releases highlighted consumer credit, especially credit cards, as the main source of household NPL pressure. [31] SEC enforcement actions focused on unregistered online lending platforms and abusive collection practices. [32][33] In July 2025, the SEC issued a cease-and-desist order against Bravo Zulo Romeo Lending Corp. and its platform Magic Peso after borrower complaints of abusive collection, including threats of lawsuits. [33] The FinTech Alliance PH, an industry body rather than a regulator, blamed online lending defaults on borrowers applying simultaneously to as many as ten apps, leaving them overleveraged and unable to repay. [34]
The regulator response combined BSP prudential rules and SEC enforcement. BSP Circular No. 1133 imposed ceilings on short-term, small-value, unsecured online loans: a nominal interest rate ceiling of 6% per month and an effective interest rate ceiling of 15% per month including fees, plus a late-payment penalty cap of 5% per month and a total cost cap of 100% of the amount borrowed. [35] Those ceilings applied to loans of up to ₱10,000 with a tenor of up to four months, and were subject to periodic BSP review with SEC compliance and impact reports. [35][36] BSP Circular No. 1154 placed digital banks under the full set of BSP prudential requirements, including risk management, IT/cybersecurity, consumer protection, and AML rules. [37] In July 2025, the BSP published draft rules imposing tiered capital and other requirements on digital-centric thrift, rural, and cooperative banks, including Basel III leverage ratio compliance, electronic AML systems, and automated real-time fraud monitoring. [38] The BSP also lifted its digital banking licence moratorium in January 2025 to allow four more players, then resumed the freeze and stopped accepting new digital bank applications after November 30, 2025. [39] Alongside the BSP, the SEC used cease-and-desist orders and licence cancellations against online lending platforms, with the July 2025 Magic Peso action the clearest supported example. [33]
**Comparison**
The three markets differ in the shape of their fintech default problems. Indonesia shows a broad rise in P2P defaults, with TWP90 climbing from roughly 2.6–2.8% in early 2025 to 4.3–4.4% by late 2025 and January 2026, but still below OJK’s 5% threshold. [2][3][4][5][6][7] India’s banking system is broadly sound, but unsecured retail and fintech small-ticket loans show concentrated stress: 3.6% of fintech personal loans were 90-plus days overdue at end-March 2025, with much worse outcomes among young, rural, and Tier-3-city borrowers. [13][14][15][16] The Philippines had a more extreme digital-bank problem—NPLs peaked at 25.33% in March 2024—but conditions improved substantially by mid-2025, leaving digital-bank NPLs around 7%, still well above the industry average. [27][28][39]
These metrics are not directly comparable. Indonesia’s TWP90 is a P2P-specific 90-day default ratio; India’s 3.6% figure is a fintech NBFC personal-loan delinquency measure; and the Philippines’ digital-bank numbers are bank-style gross NPL ratios. The underlying stress, however, was similar in kind: younger borrowers, small-ticket unsecured loans, and consumers borrowing from multiple providers or platforms.
Regulators also blamed different things. Indonesia’s OJK attributed rising defaults to problematic funding and weakening repayment ability. [5][7] India’s RBI focused on underwriting dilution, excessive unsecured credit growth, write-offs masking asset quality, and digital-lending misconduct. [14][20][40] The Philippines’ BSP offered less explicit public blame in the available findings; its data releases pointed to credit cards and consumer loans, while SEC actions targeted unregistered and abusive online lenders, and industry voices blamed overleveraging from multiple simultaneous loan applications. [23][31][32][33][34]
The responses also differed by tool. Indonesia and the Philippines both used interest-rate ceilings, though Indonesia’s were daily P2P caps and the Philippines’ were monthly caps on small, short-term online loans. [1][35][36] India relied mainly on risk-weight increases, board-approved exposure limits, and conduct rules, with targeted provisioning pressure on fintech-sourced loan pools. [19][20][21] Indonesia emphasised licensing, minimum-equity enforcement, and borrower limits across P2P platforms. [7][10][11] The Philippines combined BSP prudential rules for digital banks with SEC enforcement against unregistered lending apps. [33][37] All three, in different ways, responded to the same underlying concern: rapid digital credit growth creating unsecured small-loan risk that older supervisory frameworks did not fully capture.
Sources:
[1] Izzudin Al Farras Adha 1, Fadhila Maulida 2, Nur Komaria 2, &amp; Deva Zhalzha Amalia - https://indef.or.id/wp-content/uploads/2025/06/Update_v2_Policy_Brief_CODES_No._01-2025_P2P_Lending.pdf
[2] Indonesia's Fintech Loan Defaults Increase in Q1 2025 - https://databoks.katadata.co.id/en/finance/statistics/6853ab4cb3e24/indonesias-fintech-loan-defaults-increase-in-q1-2025
[3] OJK: Ada 20 perusahaan "fintech lending" dengan TWP90 di atas 5 persen - ANTARA News - https://www.antaranews.com/berita/4779685/ojk-ada-20-perusahaan-fintech-lending-dengan-twp90-di-atas-5-persen
[4] Financing Institutions, Venture Capital, Fintech P2P ... - https://iru.ojk.go.id/iru/Website/ArticleList/View/966_Financing_Institutions,_Venture_Capital,_Fintech_P2P_Lending_and_Micro_Finance_Industry_Update_December_2025
[5] TWP90 P2P Lending 3,19% per Mei 2025, 23 Pinjol punya Kredit Macet di Atas 5% - https://finansial.bisnis.com/read/20250718/563/1894491/twp90-p2p-lending-319-per-mei-2025-23-pinjol-punya-kredit-macet-di-atas-5
[6] OJK threatens ‘corrective measures’ as P2P defaults rise - Tech - The Jakarta Post - https://www.thejakartapost.com/business/2026/01/13/ojk-threatens-corrective-measures-as-p2p-defaults-rise
[7] Kata OJK soal Kredit Macet Industri Pinjol Naik 61% hingga Denda oleh KPPU - https://finansial.bisnis.com/read/20260408/563/1965206/kata-ojk-soal-kredit-macet-industri-pinjol-naik-61-hingga-denda-oleh-kppu
[8] P2P Lending Fintech Default: A Comparative Analysis from the Perspective of Islamic Economic Law in Indonesia and Malaysia - https://doi.org/10.21043/tawazun.v8i2.35253
[9] The Rise and Regulation of Digital Credit: Lessons from Indonesia - https://doi.org/10.1596/1813-9450-11300
[10] Begini Langkah OJK Perkuat Industri P2P Lending di Tengah Masalah Gagal Bayar - https://finansial.bisnis.com/read/20260114/563/1944183/begini-langkah-ojk-perkuat-industri-p2p-lending-di-tengah-masalah-gagal-bayar
[11] PRESS RELEASE OJK STRENGTHENS SUPERVISION AND RESOLVES ISSUES IN THE FINTECH PEER TO PEER LENDING INDUSTRY - https://ojk.go.id/en/berita-dan-kegiatan/siaran-pers/Documents/Pages/OJK-Strengthens-Supervision-and-Resolves-Issues-in-the-Fintech-Peer-to-Peer-Lending-Industry/20%20[Press%20Release]%20OJK%20Fokus%20Penguatan%20Pengawasan%20dan%20Penyelesaian%20Permasalahan%20di%20Industri%20Pindar_EN.pdf
[12] OJK draft would class online loans as bad only after more than 180 calendar days past due | T&amp;S - https://www.ts-asset-mgmt.com/report/id/2026-10-08-ojk-drafts-longer-bad-loan-cut-off-for-online-lending
[13] (untitled) - https://rbidocs.rbi.org.in/rdocs/PublicationReport/Pdfs/0FSRJUNE20253006258AE798B4484642AD861CC35BC2CB3D8E.PDF
[14] RBI red-flags worsening asset quality in unsecured loans - Banking &amp; Finance News | The Financial Express - https://www.financialexpress.com/business/banking-finance-rbi-red-flags-worsening-asset-quality-in-unsecured-loans-3703841/
[15] Over 70% of fintechs' loan book unsecured: Financial Stability Report | Finance News - Business Standard - https://www.business-standard.com/finance/news/fintechs-unsecured-loans-rbi-financial-stability-report-125123100962_1.html
[16] Fintech-driven personal loans show rising stress, delinquencies at 6-quarter high - The Economic Times - https://economictimes.indiatimes.com/industry/banking/finance/fintech-driven-personal-loans-show-rising-stress-delinquencies-at-6-quarter-high/articleshow/122158661.cms
[17] Unsecured loans pose risks to asset quality, RBI data shows - The Economic Times - https://economictimes.indiatimes.com/industry/banking/finance/unsecured-loans-poses-risks-to-asset-quality-rbi-data-shows/articleshow/122163698.cms
[18] Private banks’ fresh slippages in unsecured retail loans sharply higher than peers: RBI - https://www.moneycontrol.com/news/business/private-banks-fresh-slippages-in-unsecured-retail-loans-sharply-higher-than-peers-rbi-13205903.html
[19] Notifications | Official Website of Reserve Bank of India - https://www.rbi.org.in/Scripts/NotificationUser.aspx?Id=12567
[20] Notifications | Official Website of Reserve Bank of India - https://www.rbi.org.in/scripts/FS_Notification.aspx?Id=12848
[21] Fintechs in talks with RBI for easier provisioning for default loss guarantee-backed loans | Mint - https://www.livemint.com/industry/banking/fintechs-rbi-digital-lending-lenders-default-loss-guarantee-nbfc-loan-provisioning-paytm-phonepe-mobikwik-11748776028482.html
[22] RBI Risk Weights: Will RBI ease risk weights on credit cards and personal loans next?, ETBFSI - https://bfsi.economictimes.indiatimes.com/news/policy/will-rbi-ease-risk-weights-on-credit-cards-and-personal-loans-next/118614947
[23] Quarterly Updates on Banking System - https://www.bsp.gov.ph/Media_And_Research/Publications/QUBS-2025-Q1.pdf
[24] PHILIPPINE FINANCIAL SYSTEM - https://www.bsp.gov.ph/Lists/Report%20on%20the%20Philippine%20Financial%20System/Attachments/34/StatRep_2Sem2025.pdf
[25] Moody’s warns of rising risks as banks expand retail lending | Philstar.com - https://www.philstar.com/business/2025/04/25/2438091/moodys-warns-rising-risks-banks-expand-retail-lending
[26] Philippine digital banks weigh growth against poor credit quality - https://reports.tabinsights.com/article/philippine-digital-banks-weigh-growth-against-poor-credit-quality
[27] Digital banks’ NPL ratio at near 2-year low - BusinessWorld Online - https://bworldonline.com/banking-finance/2025/07/29/688006/digital-banks-npl-ratio-at-near-2-year-low/
[28] Maya Bank readying new borrower segments - Malaya Business Insight - https://malaya.com.ph/weekly-features/banking-finance/maya-bank-readying-new-borrower-segments/
[29] Digital lending boom drives growth in PHL credit data - BusinessWorld Online - https://bworldonline.com/banking-finance/2025/08/13/691116/digital-lending-boom-drives-growth-in-phl-credit-data/
[30] Financial Inclusion or Exploitation? An Integrative Review of Online Lending Applications (OLAs) in the Philippines: Analyzing User Experiences, Regulatory Challenges, and Implications for Consumer Protection - https://doi.org/10.31219/osf.io/nr456
[31] ₱28.8 T - https://www.bsp.gov.ph/Media_And_Research/Publications/QUBS-2025-Q3.pdf
[32] SEC cracks whip on erring online lending platforms | Philstar.com - https://www.philstar.com/business/2025/05/27/2445992/sec-cracks-whip-erring-online-lending-platforms
[33] SEC orders 2 online lenders to cease operations - https://malaya.com.ph/business/corporate/sec-orders-2-online-lenders-to-cease-operations/
[34] FinTech Alliance PH plans data-sharing initiative to curb online lending risks - BusinessWorld Online - https://bworldonline.com/banking-finance/2025/12/03/716046/fintech-alliance-ph-plans-data-sharing-initiative-to-curb-online-lending-risks/
[35] BANGKO SENTRAL NG PILI PINAS - https://www.bsp.gov.ph/Regulations/Issuances/2021/1133.pdf
[36] Filed with UP Law Center: 1 March 2022 - https://lpr.adb.org/sites/default/files/2024-04/philippines-2022-mc-no-03.pdf
[37] CIRCULAR NO. II54 - https://www.bsp.gov.ph/Regulations/Issuances/2022/1154.pdf
[38] BSP eyes prudential requirements for digital-centric banks - BusinessWorld Online - https://bworldonline.com/top-stories/2025/07/30/688333/bsp-eyes-prudential-requirements-for-digital-centric-banks/
[39] Better credit risk controls to boost digital banks - BusinessWorld Online - https://bworldonline.com/banking-finance/2025/10/10/704233/better-credit-risk-controls-to-boost-digital-banks/
[40] Bank retail credit witness sharp slowdown in FY25; drops to 11.6% | Finance News - Business Standard - https://www.business-standard.com/finance/news/bank-retail-credit-witness-sharp-slowdown-in-fy25-drops-to-11-6-125043001330_1.html</t>
        </is>
      </c>
    </row>
    <row r="17" ht="150" customHeight="1">
      <c r="A17" s="14" t="inlineStr">
        <is>
          <t>debate-ai-credit</t>
        </is>
      </c>
      <c r="B17" s="14" t="inlineStr">
        <is>
          <t>Judgement (debate)</t>
        </is>
      </c>
      <c r="C17" s="15" t="inlineStr">
        <is>
          <t>Should banks use AI models to approve or reject consumer loans?</t>
        </is>
      </c>
      <c r="D17" s="15" t="n">
        <v>3</v>
      </c>
      <c r="E17" s="15" t="inlineStr">
        <is>
          <t>The answer provides multiple sourced points on both sides, engages the strongest fairness counter-argument directly, and reaches a clear conditional verdict from the evidence.</t>
        </is>
      </c>
      <c r="F17" s="15" t="inlineStr">
        <is>
          <t>debate</t>
        </is>
      </c>
      <c r="G17" s="15" t="inlineStr">
        <is>
          <t>Banks should use AI models to approve or reject consumer loans</t>
        </is>
      </c>
      <c r="H17" s="15" t="n">
        <v>2</v>
      </c>
      <c r="I17" s="15" t="n">
        <v>59</v>
      </c>
      <c r="J17" s="15" t="inlineStr">
        <is>
          <t>pro [pro] Banks should use AI models to approve or reject consumer loans
con [con] Banks should use AI models to approve or reject consumer loans
pro-2 [pro] Banks should use AI models to approve or reject consumer loans
con-2 [con] Banks should use AI models to approve or reject consumer loans</t>
        </is>
      </c>
      <c r="K17" s="15" t="n"/>
      <c r="L17" s="15" t="inlineStr">
        <is>
          <t>**The case for**
The strongest affirmative evidence is not a single academic result, but a combination of predictive, operational, and access evidence.
On predictive power, machine-learning models have outperformed traditional logistic-regression or scorecard approaches in several supported studies. In a Brazilian bank loan database, Random Forest and AdaBoost performed better than other models, and machine-learning models generally outperformed logistic regression. One study found Gradient Boosting identified high-risk consumer credit accounts with 95% specificity and 90% sensitivity. Another found a decision tree achieved 89.4% accuracy versus 64.23% for logistic regression. A broader review also reported that AI credit models improve accuracy, lower default rates, and improve profitability. Some specific accuracy claims were not well supported, so they cannot carry the verdict, but the general pattern of improved predictive performance has credible support.
The operational evidence is especially strong. Credit Union of Colorado used AI-based credit decision software to approve an additional $40 million in consumer loans that would have been declined under traditional methods, while cutting consumer loan losses nearly in half and eliminating charge-offs. Marine Credit Union auto-decisions 55% to 60% of consumer loans, with only about three decisions in 100 differing from what live loan officers would have decided. Teachers Federal Credit Union uses automated underwriting for 80% to 90% of loans, with human experts validating the machine decisions, and reports better net predictive power than a standard credit score. First Hawaiian Bank and Alliance Bank Malaysia also report gains in loan growth, efficiency, and turnaround time.
On access and fairness relative to the human status quo, the case for AI is meaningful. Federal banking agencies recognize that alternative data used in underwriting can expand access to credit. Credit scoring increased small-business lending in low- and moderate-income areas by $16.4 million, an effect 2.5 times larger than in higher-income areas. FinTech mortgage algorithms discriminated 40% less than face-to-face lenders in pricing, showed no discrimination in loan approval decisions, and face-to-face lenders rejected minority applicants about 6% more often. Another study found observable applicant-risk factors explain most racial denial disparities, suggesting differential treatment may play a limited role.
Finally, the explainability problem is not absolute. Most EU banks report that they can provide detailed explanations for their AI decisions, especially for self-developed models. No bank in that sample allowed self-learning after deployment, and human oversight was used for high-risk decisions.
**The case against**
The strongest negative case is legal and fairness risk.
Legally, AI loan decisions face strict requirements. Federal law bars creditors from using complex algorithms when doing so prevents them from giving specific and accurate reasons for credit denials. CFPB guidance reinforces this: even for complex-algorithm denials, creditors must give accurate and specific reasons, not broad-bucket explanations. In Europe, the EU AI Act classifies AI systems used to evaluate creditworthiness or establish credit scores as high-risk, imposing additional safeguards, while the GDPR and AI Act create overlapping and sometimes conflicting requirements. CFPB supervision in 2024 also focused specifically on automated systems and models used in credit card originations.
On fairness, the negative evidence is concrete and serious. The Massachusetts Attorney General settled with student lender Earnest for $2.5 million over allegations that its AI lending models could cause disparate harm to Black, Hispanic, and non-citizen applicants. The allegations included failing to test models for disparate impact, using a Cohort Default Rate variable that penalized Black and Hispanic applicants more than white applicants, and using a “Knockout Rule” that automatically denied applications based on immigration status. A Journal of Finance study found Black and Hispanic borrowers are disproportionately less likely to gain from machine-learning credit screening, and that in an equilibrium model machine learning increases rate disparity between and within groups. An audit of LLM mortgage underwriting found Black applicants would need roughly 120 more credit-score points than white applicants to receive the same approval rate, with the disparity larger for low-credit-score applicants.
On explainability and robustness, modern machine-learning models substantially outperform logistic regression, but they are substantially harder to explain to denied applicants, regulators, and courts. In addition, data or model drift can make complex models suffer greater out-of-sample misses than simpler parametric models. The for-side meta-analytic claim about Random Forest also did not survive scrutiny: its reported p-value did not meet the stated significance threshold, the results contained conflicting p-values, the comparison was not a head-to-head test on the same loan data, and the Random Forest sample was very small.
**Where they clash**
The sharpest clash is over fairness. The affirmative evidence says algorithms can reduce human bias, and in some mortgage settings they appear to discriminate less than face-to-face lenders. The negative evidence shows that algorithmic underwriting can also produce unlawful disparate impact, as in the Earnest case, and that some machine-learning systems can widen racial gaps. Both can be true. The outcome depends heavily on training data, feature selection, fair-lending testing, and oversight. The Earnest case shows what happens when those safeguards are absent. The FinTech mortgage evidence shows what can happen when algorithmic decisions displace more subjective human judgment. Neither side can claim that AI is inherently more or less fair.
On accuracy, the affirmative side’s general claim survives in qualified form. The contested meta-analysis does not survive, but other supported studies and operational reports still show real predictive and efficiency gains. The negative side’s drift point also survives and is important: a model that fits past data well can fail out-of-sample if the environment changes. That makes ongoing monitoring essential.
On explainability and legal compliance, the negative side’s legal points largely survive. The affirmative rebuttal shows that many banks can explain their models and that human oversight is common, but feasibility is not the same as universal compliance. A bank cannot lawfully deploy an opaque model if it cannot produce specific adverse-action reasons. The EU legal picture remains somewhat unsettled: one analysis found no significant contradictions between the AI Act and EU banking legislation, but another identified overlap and conflict with the GDPR. The safest reading is that AI underwriting is lawful only when the compliance burden is met, not that it is prohibited outright.
**Verdict**
The answer is a conditional yes. Banks should use AI models to approve or reject consumer loans when, and only when, they can meet the legal, fairness, and oversight requirements that the negative case identifies.
The affirmative side has the better of the broad efficiency and predictive-performance question. Supported evidence shows real gains in accuracy, speed, loss reduction, and credit access, and there is credible evidence that algorithmic underwriting can reduce some human biases. The operational results from credit unions and banks are difficult to dismiss.
But the negative side wins on an important limiting condition. Unmonitored or poorly designed AI underwriting can produce exactly the harms seen in the Earnest settlement, and US and EU law require specific reasons, high-risk safeguards, and fair-lending care. The proper conclusion is therefore “yes, if”: fair-lending testing before and after deployment, monitoring for drift, human oversight of high-risk decisions, and a firm requirement that models be explainable enough to give specific, accurate adverse-action reasons. Without those safeguards, banks should not use AI to make final approve or reject decisions.</t>
        </is>
      </c>
    </row>
    <row r="18" ht="150" customHeight="1">
      <c r="A18" s="14" t="inlineStr">
        <is>
          <t>debate-paylater</t>
        </is>
      </c>
      <c r="B18" s="14" t="inlineStr">
        <is>
          <t>Judgement (debate)</t>
        </is>
      </c>
      <c r="C18" s="15" t="inlineStr">
        <is>
          <t>Should Indonesia restrict buy-now-pay-later (paylater) services for young borrowers?</t>
        </is>
      </c>
      <c r="D18" s="15" t="n">
        <v>3</v>
      </c>
      <c r="E18" s="15" t="inlineStr">
        <is>
          <t>It gives multiple cited arguments for and against, directly addresses counterarguments on NPF trends and age targeting, and reaches a clear evidence-based verdict.</t>
        </is>
      </c>
      <c r="F18" s="15" t="inlineStr">
        <is>
          <t>debate</t>
        </is>
      </c>
      <c r="G18" s="15" t="inlineStr">
        <is>
          <t>Indonesia should restrict buy-now-pay-later (paylater) services for young borrowers.</t>
        </is>
      </c>
      <c r="H18" s="15" t="n">
        <v>2</v>
      </c>
      <c r="I18" s="15" t="n">
        <v>39</v>
      </c>
      <c r="J18" s="15" t="inlineStr">
        <is>
          <t>pro [pro] Indonesia should restrict buy-now-pay-later (paylater) services for young borrowers.
con [con] Indonesia should restrict buy-now-pay-later (paylater) services for young borrowers.
con-2 [con] Indonesia should restrict buy-now-pay-later (paylater) services for young borrowers.</t>
        </is>
      </c>
      <c r="K18" s="15" t="n"/>
      <c r="L18" s="15" t="inlineStr">
        <is>
          <t>## The case for
Indonesia’s buy-now-pay-later market is growing quickly and is heavily used by young people. [1][2] OJK figures show paylater debt jumped 48% year-on-year to Rp20.5 trillion, with total paylater debt reaching Rp29.59 trillion by April 2025. [1][2] Bank BNPL credit reached Rp21.89 trillion over January–May 2025, growing 25.41% year-on-year, and later reached Rp24.33 trillion by August 2025. [3][4] Financing-company BNPL grew even faster, rising 79.91% year-on-year to Rp9.97 trillion in August 2025. [4]
The product is concentrated among younger users. [2] Millennials and Gen Z have paylater participation rates of 48.27% and 39.94%, respectively, and an industry finance director describes them as the main engine of BNPL growth. [2][5] There is also evidence of harm: 26.5% of Gen Z reported having defaulted on paylater installments, the highest proportion among generations. [6] OJK data recorded that 44.14% of debtors aged 19–34 experienced debt default in June 2023. [6] A study found BNPL use had a very strong effect on impulsive buying among young users. [7]
Delinquency has shown upward movement. [1] Gross non-performing financing for paylater rose from 2.76% in October 2024 to 2.92% in November 2024, and financing-company BNPL gross NPF was 3.78% in April 2025. [1][8] OJK’s weekly meetings receive the most complaints about collections for peer-to-peer lending and BNPL. [9] OJK has also warned that unpaid BNPL is recorded in SLIK and can later cause problems when a user applies for a mortgage. [9]
Finally, the regulator has already acted: OJK issued POJK 32/2025 on BNPL practices to mitigate risks from the rapid development of digital payments. [10]
## The case against
The risk picture is less alarming than the growth figures suggest. Financing-company BNPL gross NPF fell from 3.26% in June 2025 to 2.95% in July 2025. [11] Industry sources explain the earlier NPF rise as a result of deliberate de-risking after a February 2025 NPF spike, with companies braking disbursement and then seeing NPF self-correct. [11] Some lenders report NPF far below the industry average, such as Akulaku Finance at 1.8%, so a blanket restriction would penalise well-underwritten providers. [12]
The definition of “young borrowers” is also a problem. Users under 20 are only 6.79% of the paylater market, while 20–30-year-olds are 46.6% and 30–40-year-olds are 29.19%. [13] A restriction aimed at the under-20s would affect only a small slice; a restriction drawn at 30 would hit the core adult customer base.
Indonesia already has a regulatory response. [10][14] OJK issued POJK 32/2025 on BNPL practices, and in early 2025 it conducted 120 financial education activities reaching 703,542 participants. [10][14] The case for new restriction is therefore partly a case for enforcing the existing regime rather than imposing a blanket ban.
Most importantly, restricting access can backfire. Evidence from debt-collection restrictions shows that tightening access to mainstream credit can push borrowers into costlier payday lending. [15] Simulations of BNPL attribute restrictions show that demand falls overall but rises among lower-credit-score and lower-income consumers, worsening adverse selection in the BNPL pool. [16]
## Where they clash
The sharpest clash is over credit risk. The for side argues that non-performing financing is rising and points to figures such as the 3.78% financing-company NPF in April 2025. [1][8] But the against side’s later data undercut the idea of an uncontrolled upward trend: financing-company BNPL NPF fell from 3.26% in June 2025 to 2.95% in July 2025. [11] The May 2025 NPF figure of 3.74% was also unsupported and cannot establish a trend. The supported evidence suggests the risk is cyclical and partly self-correcting, not spiralling out of control.
The two sides also clash over what “restricting young borrowers” would mean. The for side shows that young people dominate paylater use and have higher default and impulsive-buying risk. [2][6][7] But the against side shows that the very youngest users are a small minority. [13] The core users are 20–30-year-old adults, not minors or near-minors. [13] Restricting “young borrowers” would either be almost irrelevant or would exclude ordinary working-age adults from a mainstream credit product.
There is some agreement on regulation: both sides accept that OJK has issued POJK 32/2025. However, the claim that POJK 32/2025 already contains comprehensive consumer-protection and data-protection rules was not fully supported. A separate claim that OJK has already set an 18-year minimum age and Rp3 million monthly income requirement is unverified and cannot carry weight in the verdict.
There is also a minor data conflict: the 24.79 million active bank paylater account figure was reported as May 2025 in one place but later appears as the June 2025 level. I treat it as the June figure because the later data explicitly compare June, July, and August.
## Verdict
Indonesia should not impose a blanket age-based ban on paylater for young borrowers. The evidence does support a real consumer-protection concern: paylater is growing fast, young adults are its main users, and Gen Z shows higher reported default and impulsive buying. [1][2][6][7] But the evidence does not show that the main risk is the youngest users, nor that exclusion is the right instrument.
The core user base is 20–30-year-old adults, while under-20s are only a small minority. [13] Credit risk, though elevated in some months, is not out of control and was falling at financing companies by mid-2025. [11] A broad restriction risks pushing young borrowers toward unregulated or higher-cost credit and may worsen adverse selection. [15][16]
The better answer is therefore “yes, if…”—restrict the product, not the age group. Indonesia should enforce and build on the existing POJK 32/2025 through mandatory affordability checks, lower initial credit limits for younger or first-time users, strict collection conduct, clear SLIK consequences, and continued financial education. But a broad prohibition on young borrowers is not supported by the evidence.
Sources:
[1] Indonesians’ Paylater debts soar, driving BNPL growth and rising loan defaults | Indonesia Business Post - https://indonesiabusinesspost.com/3496/business-and-investment/indonesians-paylater-debts-soar-driving-bnpl-growth-and-rising-loan-defaults
[2] Millennials and Gen Z Drive Indonesia's Rp29.59 Trillion Paylater Debt - News En.tempo.co - https://en.tempo.co/read/2014263/millennials-and-gen-z-drive-indonesias-rp29-59-trillion-paylater-debt
[3] OJK Catat Pay Later Tembus Rp21,89 T per Mei, Generasi Muda Paling Banyak Pinjam - Fintech Katadata.co.id - https://katadata.co.id/digital/fintech/686ce4029195f/ojk-catat-pay-later-tembus-rp21-89-t-per-mei-generasi-muda-paling-banyak-pinjam
[4] OJK: Indonesia's Buy Now Pay Later Debt Rises to Rp24.33 Trillion - News En.tempo.co - https://en.tempo.co/read/2056509/ojk-indonesias-buy-now-pay-later-debt-rises-to-rp24-33-trillion
[5] Didorong Milenial dan Gen Z, Paylater Multifinance Tumbuh Lebih Kencang dari Perbankan - https://finansial.bisnis.com/read/20250820/89/1904110/didorong-milenial-dan-gen-z-paylater-multifinance-tumbuh-lebih-kencang-dari-perbankan
[6] Faktor Penentu Kecenderungan Berutang Pengguna Shopee Paylater di Jabodetabek - https://doi.org/10.24912/jmk.v7i3.34645
[7] The Effect of “Buy Now, Pay Later” On Personal Financial Distress Through Impulsive Buying and Financial Management Behavior as Chain Mediation Among Generation Z in DKI Jakarta - https://doi.org/10.59188/eduvest.v6i6.53311
[8] Orang RI Makin Doyan Pakai Pinjol-Paylater, Gagal Bayar Juga Meningkat - https://finance.detik.com/fintech/d-7945002/orang-ri-makin-doyan-pakai-pinjol-paylater-gagal-bayar-juga-meningkat
[9] OJK Ingatkan Generasi Muda Pengguna BNPL Hal Ini - https://www.cnbcindonesia.com/market/20250225110007-17-613405/ojk-ingatkan-generasi-muda-pengguna-bnpl-hal-ini
[10] Press Release: OJK Issues Buy Now Pay Later Practices Regulation - https://ojk.go.id/en/berita-dan-kegiatan/siaran-pers/Pages/OJK-Issues-Buy-Now-Pay-Later-Practices-Regulation.aspx
[11] Pengamat Sebut NPF BNPL Turun Akibat Perlambatan Penyaluran - https://keuangan.kontan.co.id/news/pengamat-sebut-npf-bnpl-turun-akibat-perlambatan-penyaluran
[12] NPF Industri Paylater Naik, Akulaku Klaim Kualitas Kredit Tetap Terjaga di Level 1,8% - https://keuangan.kontan.co.id/news/npf-industri-paylater-naik-akulaku-klaim-kualitas-kredit-tetap-terjaga-di-level-18
[13] Daya Beli Warga RI Melemah, tapi Kenapa Pay Later Tumbuh Kencang? - https://www.cnbcindonesia.com/market/20250422123538-17-627773/daya-beli-warga-ri-melemah-tapi-kenapa-pay-later-tumbuh-kencang
[14] Financial Services Sector Stability Remains Secure Amid ... - https://ojk.go.id/en/berita-dan-kegiatan/siaran-pers/Pages/Financial-Services-Sector-Stability-Remains-Secure-Amid-Increasing-Economic-Dynamics-RDKB-Feb-2025.aspx
[15] Less Mainstream Credit, More Payday Borrowing? Evidence from Debt Collection Restrictions - https://doi.org/10.1111/jofi.13189
[16] Understanding Consumer Demand for “Buy Now, Pay Later” - https://doi.org/10.59576/sr.1167</t>
        </is>
      </c>
    </row>
    <row r="19" ht="150" customHeight="1">
      <c r="A19" s="14" t="inlineStr">
        <is>
          <t>debate-junior-devs</t>
        </is>
      </c>
      <c r="B19" s="14" t="inlineStr">
        <is>
          <t>Judgement (debate)</t>
        </is>
      </c>
      <c r="C19" s="15" t="inlineStr">
        <is>
          <t>Is it a good idea for companies to replace junior software developers with AI coding agents?</t>
        </is>
      </c>
      <c r="D19" s="15" t="n">
        <v>3</v>
      </c>
      <c r="E19" s="15" t="inlineStr">
        <is>
          <t>The answer provides multiple sourced points on both sides, directly rebuts the strongest pro-replacement arguments, and reaches a clear, evidence-weighted verdict against generally replacing junior developers.</t>
        </is>
      </c>
      <c r="F19" s="15" t="inlineStr">
        <is>
          <t>debate</t>
        </is>
      </c>
      <c r="G19" s="15" t="inlineStr">
        <is>
          <t>Companies should replace junior software developers with AI coding agents.</t>
        </is>
      </c>
      <c r="H19" s="15" t="n">
        <v>2</v>
      </c>
      <c r="I19" s="15" t="n">
        <v>44</v>
      </c>
      <c r="J19" s="15" t="inlineStr">
        <is>
          <t>pro [pro] Companies should replace junior software developers with AI coding agents.
con [con] Companies should replace junior software developers with AI coding agents.
pro-2 [pro] Companies should replace junior software developers with AI coding agents.
con-2 [con] Companies should replace junior software developers with AI coding agents.</t>
        </is>
      </c>
      <c r="K19" s="15" t="n"/>
      <c r="L19" s="15" t="inlineStr">
        <is>
          <t>**The case for**
The strongest supported point is that less experienced developers adopted AI coding assistants more and showed greater productivity gains than experienced developers. [1] There is also real benchmark evidence: Claude Opus 5 with Mini-SWE-agent resolves 97% of SWE-bench Verified real GitHub issues at $1.29 per test, and ChatGPT outperformed novice contest programmers on easy and medium coding problems. [2][3] At Anthropic, the share of junior-level technical employees fell from 21% to 14% since early 2025, and junior technical hires fell from 27% to 9%. [4] The cost framing is also clear: one supported quote puts the choice as a $90K junior versus a $10 Copilot. [5] Still, many of the larger productivity claims from corporate pilots and randomized trials were unsupported by their quoted evidence, so the affirmative case is narrower than it appears.
**The case against**
The negative case is stronger and more systemic. AI-generated code carries security weaknesses, and among vulnerable snippets more than half had multiple issues, averaging about three each; Copilot Chat's standard fix removed only 19.3%, and an enhanced prompt fixed only 55.5%. [6] Codebase evidence shows duplicated blocks rising roughly 10x from 2022 to 2024, and more recent GitClear data show refactoring down 70%, legacy maintenance down 74%, duplication up 81%, and error-masking up 47%. [7][8] A randomized trial found experienced open-source developers using early-2025 AI tools took 19% longer while believing they were about 20% faster, showing self-reported gains are unreliable. [9][10] Copilot gains were concentrated among peripheral, less-experienced contributors while core developers reviewed 6.5% more code and their original-code productivity fell 19%; post-AI code required more rework. [11] Commit-level effects also collapsed at release level: a 180% cumulative commit effect fell to 50% for projects and 30% for releases. [8] On talent, IBM is tripling entry-level software hiring, Egnyte continues to hire junior engineers, and IBM's HR leader warns that cutting juniors risks a future shortage of mid-level managers; in adjacent engineering, Ford rehired veteran engineers after over-relying on automation. [12][13][14][15]
**Where they clash**
The affirmative side says local speed, benchmark scores, and cost make replacement attractive. The rebuttal is that local speed does not equal delivered output. The benchmark and junior-gain findings survive, but they only show AI can help with coding tasks; they do not show an agent can replace the full junior role, including quality, maintenance, and the learning pipeline. The finding that less experienced developers gain more actually cuts against replacement: it argues for keeping juniors and giving them AI. The Anthropic hiring decline survives as one company-specific data point, but IBM and Egnyte show the opposite strategy. The affirmative case had no supported answer to the security, rework, release-level, and pipeline concerns.
**Verdict**
No—not as a general policy. The weight of supported evidence says companies should not replace junior software developers with AI coding agents, though they should use AI to change how juniors work. The case for replacement rests mostly on coding benchmarks, junior-specific local gains, cost framing, and one lab's hiring decline. The case against rests on measured slowdowns, unreliable self-reports, security weaknesses, rising duplication and maintenance burden, senior rework, and talent-pipeline risk. Those are broader and better-supported in this record. A narrow "yes, if..." remains possible for low-risk, well-scoped tasks with senior review and strong quality gates, but that is augmentation or selective automation, not replacing the junior-to-senior pipeline. For most firms, the better approach is to use AI to accelerate and reshape junior developers, not eliminate them.
Sources:
[1] The Effects of Generative AI on High-Skilled Work: Evidence from Three Field Experiments with Software Developers - https://doi.org/10.1287/mnsc.2025.00535
[2] ChatGPT vs Human Programmers - https://arxiv.org/pdf/2305.11837
[3] SWE-bench Verified Leaderboard and Methodology | Vals AI - https://www.vals.ai/benchmarks/swebench
[4] How employment is changing at Anthropic - https://www.anthropic.com/research/employment-at-anthropic
[5] Demand for junior developers softens as AI takes over | CIO - https://www.cio.com/article/4062024/demand-for-junior-developers-softens-as-ai-takes-over.html
[6] Security Weaknesses of Copilot-Generated Code in GitHub Projects: An Empirical Study | ACM Transactions on Software Engineering and Methodology - https://dl.acm.org/doi/full/10.1145/3716848
[7] AI Copilot Code Quality: Evaluating 2024's Increased ... - https://gitclear-public.s3.us-west-2.amazonaws.com/GitClear-AI-Copilot-Code-Quality-2025.pdf
[8] Top 11 Cited AI Developer Productivity &amp; Code Quality ... - https://www.gitclear.com/recent_ai_developer_productivity_code_quality_research
[9] Measuring the Impact of Early-2025 AI on Experienced Open-Source Developer Productivity - https://doi.org/10.48550/arxiv.2507.09089
[10] Disadvantages of AI-Assisted Code Generation in Software Development - https://doi.org/10.9790/0661-2803022228
[11] AI-Assisted Programming Decreases the Productivity of Experienced Developers by Increasing the Technical Debt and Maintenance Burden - https://arxiv.org/abs/2510.10165
[12] Ford Hiring 350 Engineers After AI Failed Shows Human Value In AI Era - https://www.forbes.com/sites/joetoscano1/2026/06/30/ford-hiring-350-engineers-after-ai-failed-shows-human-value-in-ai-era/
[13] IBM looks beyond short-term AI gains, tripling entry-level hiring | CIO - https://www.cio.com/article/4134276/ibm-looks-beyond-short-term-ai-gains-tripling-entry-level-hiring.html
[14] Why Egnyte keeps hiring junior engineers despite the rise of AI coding tools | VentureBeat - https://venturebeat.com/orchestration/why-egnyte-keeps-hiring-junior-engineers-despite-the-rise-of-ai-coding-tools
[15] IBM is tripling the number of Gen Z entry-level jobs after finding the limits of AI adoption | Fortune - https://fortune.com/2026/02/13/tech-giant-ibm-tripling-gen-z-entry-level-hiring-according-to-chro-rewriting-jobs-ai-era/</t>
        </is>
      </c>
    </row>
    <row r="20" ht="150" customHeight="1">
      <c r="A20" s="14" t="inlineStr">
        <is>
          <t>debate-multi-agent</t>
        </is>
      </c>
      <c r="B20" s="14" t="inlineStr">
        <is>
          <t>Judgement (debate)</t>
        </is>
      </c>
      <c r="C20" s="15" t="inlineStr">
        <is>
          <t>Is a multi-agent architecture worth it over a single agent for LLM research tasks?</t>
        </is>
      </c>
      <c r="D20" s="15" t="n">
        <v>2</v>
      </c>
      <c r="E20" s="15" t="inlineStr">
        <is>
          <t>The answer is well-sourced and clear on the case against multi-agent architectures, but it only provides one substantive affirmative point rather than the required two, leaving the for side underdeveloped despite engaging the strongest counter-argument.</t>
        </is>
      </c>
      <c r="F20" s="15" t="inlineStr">
        <is>
          <t>debate</t>
        </is>
      </c>
      <c r="G20" s="15" t="inlineStr">
        <is>
          <t>For LLM research tasks, a multi-agent architecture is worth its added complexity, cost, and latency compared with a single agent.</t>
        </is>
      </c>
      <c r="H20" s="15" t="n">
        <v>2</v>
      </c>
      <c r="I20" s="15" t="n">
        <v>17</v>
      </c>
      <c r="J20" s="15" t="inlineStr">
        <is>
          <t>pro [pro] For LLM research tasks, a multi-agent architecture is worth its added complexity, cost, and latency compared with a single agent.
con [con] For LLM research tasks, a multi-agent architecture is worth its added complexity, cost, and latency compared with a single agent.
pro-2 [pro] For LLM research tasks, a multi-agent architecture is worth its added complexity, cost, and latency compared with a single agent.</t>
        </is>
      </c>
      <c r="K20" s="15" t="n"/>
      <c r="L20" s="15" t="inlineStr">
        <is>
          <t>**The case for**
The record contains no supported findings marked `side: for`. The affirmative case would usually rest on specialization, parallel work streams, context isolation, or independent verification, but those arguments are not empirically developed here. The strongest positive signal is that multi-agent effect sizes can be large in some task types—up to +80.8% on structured financial reasoning. [1] That shows multi-agent systems are not always useless, but it does not show they are worth it for LLM research tasks generally.
**The case against**
The supported evidence is heavily one-sided. On SWE-bench Verified, every multi-agent architecture tested underperformed the single-agent baseline: hybrid by 1.3%, centralized by 2.6%, decentralized by 6.4%, and independent by 12.8%. [1] Across benchmarks, coordination changed performance by +80.8% to −70.0%, meaning architecture-task alignment determines success, and multi-agent designs often hurt. [1]
Where reasoning quality was tested directly, the results were poor. Under distributed information, multi-agent systems achieved 30.1% accuracy versus 80.7% for a single agent with complete information, and performance worsened with group size. [2] Across 36 model-benchmark configurations, no multi-agent debate method beat chain-of-thought with a win rate above 20%, and these methods underperformed self-consistency at comparable token cost. [3] Under matched thinking-token budgets, the single-agent architecture was the strongest default for multi-hop reasoning. [4]
Cost and reliability evidence points the same way. Anthropic reports multi-agent systems use about 15× more tokens than chat interactions, versus about 4× for single agents, and that multi-agent systems often take longer. [5] It also describes teams spending months on multi-agent architectures only for improved prompting on a single agent to achieve equivalent results, with multi-agent systems typically using 3–10× more tokens. [6] Multi-agent systems also have many failure modes: one analysis identified 14 distinct modes across system design, inter-agent misalignment, and task verification, requiring structural changes rather than simple prompting fixes. [7] Error amplification is severe without central verification—up to 17.2× baseline in independent architectures, reduced to 4.4× in centralized designs—but containment is not the same as superiority. [1]
Several additional anti-multi-agent claims were not used because the quoted evidence did not support them, including a 27-paper failure breakdown, a 270-run transactional benchmark, and a role-play math degradation claim.
**Where they clash**
There is almost no real clash. The record has no supported affirmative findings or rebuttals, so the case for the position does not answer the empirical challenges. The core anti-multi-agent findings survived critical review.
The main qualification comes from the against side’s own evidence: multi-agent coordination produced large gains in some task types, such as structured financial reasoning. [1] That prevents a blanket conclusion that multi-agent is always harmful. But it does not rescue the claim that multi-agent is generally worth the extra complexity, cost, and latency for LLM research tasks.
**Verdict**
No, not generally. For LLM research tasks, the evidence favors a strong single-agent baseline over a multi-agent architecture as the default. [1][2][3][4] Multi-agent systems in the supported findings often degrade task performance, amplify errors, introduce coordination failures, and cost far more in tokens and latency. [1][2][3][5][6][7] The single-agent architecture is strongest under matched compute budgets for multi-hop reasoning, and the claimed benefit of multi-agent debate does not survive controlled comparisons. [3][4]
The answer is conditional: multi-agent may be worth it only for narrowly matched task types where central verification is present, coordination overhead is controlled, and the multi-agent system can demonstrate real gains over a well-tuned single-agent at equal or specified cost. The affirmative case did not establish that LLM research tasks broadly meet those conditions.
So the verdict is “no, unless”—and the “unless” is an empirical burden, not a default assumption.
Sources:
[1] Capable language models can outgrow the benefits of collaboration | Nature Machine Intelligence - https://www.nature.com/articles/s42256-026-01268-y
[2] Systematic Failures in Collective Reasoning under Distributed Information in Multi-Agent LLMs - https://doi.org/10.48550/arxiv.2505.11556
[3] Stop Overvaluing Multi-Agent Debate -- We Must Rethink Evaluation and Embrace Model Heterogeneity - https://doi.org/10.48550/arxiv.2502.08788
[4] Single-Agent LLMs Outperform Multi-Agent Systems on Multi-Hop Reasoning Under Equal Thinking Token Budgets - https://arxiv.org/abs/2604.02460
[5] How we built our multi-agent research system \ Anthropic - https://www.anthropic.com/engineering/multi-agent-research-system
[6] When to use multi-agent systems (and when not to) | Claude by Anthropic - https://claude.com/blog/building-multi-agent-systems-when-and-how-to-use-them
[7] Why Do Multi-Agent LLM Systems Fail? - https://doi.org/10.48550/arxiv.2503.13657</t>
        </is>
      </c>
    </row>
    <row r="21" ht="150" customHeight="1">
      <c r="A21" s="14" t="inlineStr">
        <is>
          <t>debate-nuclear-id</t>
        </is>
      </c>
      <c r="B21" s="14" t="inlineStr">
        <is>
          <t>Judgement (debate)</t>
        </is>
      </c>
      <c r="C21" s="15" t="inlineStr">
        <is>
          <t>Should Indonesia build nuclear power plants as part of its energy transition?</t>
        </is>
      </c>
      <c r="D21" s="15" t="n">
        <v>3</v>
      </c>
      <c r="E21" s="15" t="inlineStr">
        <is>
          <t>The answer provides well-sourced arguments on both sides, engages directly with the strongest counterarguments on planning, cost, reactor size, and safety, and reaches a clear conditional verdict based on the evidence.</t>
        </is>
      </c>
      <c r="F21" s="15" t="inlineStr">
        <is>
          <t>debate</t>
        </is>
      </c>
      <c r="G21" s="15" t="inlineStr">
        <is>
          <t>Indonesia should build nuclear power plants as part of its energy transition</t>
        </is>
      </c>
      <c r="H21" s="15" t="n">
        <v>2</v>
      </c>
      <c r="I21" s="15" t="n">
        <v>50</v>
      </c>
      <c r="J21" s="15" t="inlineStr">
        <is>
          <t>pro [pro] Indonesia should build nuclear power plants as part of its energy transition
con [con] Indonesia should build nuclear power plants as part of its energy transition
pro-2 [pro] Indonesia should build nuclear power plants as part of its energy transition
con-2 [con] Indonesia should build nuclear power plants as part of its energy transition</t>
        </is>
      </c>
      <c r="K21" s="15" t="n"/>
      <c r="L21" s="15" t="inlineStr">
        <is>
          <t>**1. The case for**
Indonesia has already placed nuclear power inside its formal transition planning. [1][2] The 2025–2034 electricity plan includes 500 MW of nuclear capacity—250 MW in Sumatra and 250 MW in Kalimantan—within the new-and-renewable energy additions. [1] Government Regulation No. 40/2025 explicitly mandates nuclear energy to balance the energy mix and meet decarbonisation targets. [2] The national planning framework sets a 35 GW nuclear electricity target by 2060, or 44 GW total if the 9 GW planned for hydrogen production from 2045 is included. [2][3] The legal basis goes back to the 1967 nuclear law and now appears in the 2025–2045 long-term development plan. [4]
The technical case is that nuclear offers firm, low-carbon power in a system still dominated by coal. [5][6] PLN’s assessment is that nuclear has low emissions compared with coal and provides steady output, unlike weather-dependent solar and wind. [5] The 250 MW reactor size is not arbitrary: grid strength in Sumatra and Kalimantan is about 300 MW per hertz, so a 250 MW unit is the largest the local grids can safely absorb. [5]
Modelling also supports a future nuclear role. A LEAP study finds nuclear in Indonesia’s generation mix by 2060 in every net-zero scenario, and says Indonesia would need about 45 GW of nuclear by 2060 if regional grids are not interconnected. [7] A separate 2025 peer-reviewed study concludes that Indonesia reaches near-complete emissions reductions only through integrated pathways combining carbon pricing, large-scale renewables, green hydrogen and nuclear power. [8]
**2. The case against**
The strongest objection is geological safety. Indonesia is earthquake-prone, and the nuclear push is a revival of plans shelved after Fukushima. [9] Public and expert concern about disaster risk is well supported, and the regulator has described the first candidate areas, including West Kalimantan and Bangka Belitung, as “challenges.” The regulator is still preparing the human resources needed for site evaluation. [9][10]
Implementation readiness is also weak. As of early 2026, the government had not chosen project partners, the Nuclear Energy Program Implementing Organization had not yet been formed, and site selection was not final. [6][11][12] The 2032 on-grid target is described by the government itself as the fastest target. [6] International experience is sobering: first reactors in comparable newcomer countries took between 16 and 38 years from first concrete to commercial operation, while solar projects typically take 1–2 years. [13]
The economics are not currently favourable. A 2022 cost study found nuclear financially unviable for Indonesia, with electricity prices above the national base tariff and subsidies of about Rp 7.2 trillion per year required. [14] SMR electricity is projected to cost more than 20% more than large nuclear, while solar PV is expected to be significantly cheaper. [13] Indonesia also has little domestic nuclear expertise. [15] Its measured uranium reserves would run one reactor for only six to seven years, after which imports could cost about Rp 3.52 trillion per year for a 4.3 GW programme. [14] Meeting the 35 GWe target by 2060 would require building at least one 1,200 MWe reactor every year, but currently ready sites accommodate only about 17 GWe. [16]
Finally, the same RUPTL that includes nuclear also downgrades renewables relative to the JETP plan and raises gas capacity to more than double the JETP target. [17] Indonesia still generates about 67% of its power from coal. [6] Nuclear is therefore not currently displacing the near-term fossil expansion.
**3. Where they clash**
On planning versus preparation, the pro side’s mandate is real, but the rebuttal is stronger. A legal requirement to use nuclear does not create an implementing body, a ready regulator, final sites, or financing. The supported evidence shows NEPIO had not been formed, regulations were still being drafted, and no partner had been chosen. [11][12] The mandate therefore does not establish near-term deliverability.
On firm power versus cost, the pro side correctly shows that nuclear would provide steady, low-carbon baseload. [5] But the economic rebuttals survive. Nuclear is financially unviable on current numbers, fuel supply is limited, and the construction pace needed for the 35–44 GW target is very demanding. [14][16] Some pro-nuclear cost claims—such as the lowest system cost scenario and a specific West Kalimantan plant study—did not survive scrutiny, so the economic case for near-term nuclear is thin.
On reactor size, the 250 MW choice has a real technical justification based on grid stability. [5] A specific rebuttal claiming severe diseconomies for a 250 MW reactor was not supported, but the broader SMR cost premium is supported. The grid constraint is genuine; it also means Indonesia would initially build relatively small and expensive units. [5][13]
On safety, the pro side’s site-safety assurance is underdeveloped. A specific tsunami scenario for a Kalimantan site was not supported, but the wider seismic risk and regulatory challenges are. The safety concern therefore remains serious, even if no specific disaster is proven.
The apparent conflict between the 35 GW and 44 GW targets is not substantial: 35 GW is the electricity target, and the additional 9 GW is for hydrogen production, giving a 44 GW total. [3]
**4. Verdict**
The position should be judged **not yet**, rather than an unconditional yes. Indonesia has credible official plans, legal mandates, and model-based reasons to keep nuclear power as a long-term option. [1][2][7][8] But the evidence for near-term construction is weak. The country lacks an implementing body, chosen partners, final sites, proven financing, nuclear expertise, and secure fuel supply. [6][11][12][14][15][18] It also faces seismic hazards, corruption risk, and a history of nuclear projects missing early schedules. [9][13][15]
The strongest pro-nuclear evidence is target-based and model-based. The strongest against evidence is operational, financial and regulatory. Nuclear could play a role later if Indonesia first resolves safety, siting, finance, governance and fuel-supply conditions. For now, it should not be treated as a reliable pillar of the energy transition. The better course is to prioritise faster and cheaper renewables, storage and fossil phase-down, while continuing only preparatory nuclear work under strict safety and governance conditions.
Sources:
[1] RUPTL PT PLN (Persero) - https://gatrik.esdm.go.id/gatrik/gatrik-api/storage/migrasi/download_index/files/4ec39-materi-paparan-ruptl-2025-2034.pdf
[2] Kementerian ESDM RI - Media Center - News Archives - Wamen ESDM: Nuklir Komponen Penting dalam Transisi Energi - https://www.esdm.go.id/en/media-center/news-archives/wamen-esdm-nuklir-komponen-penting-dalam-transisi-energi
[3] Indonesia targets first nuclear power plant by 2032–2034 - ANTARA News - https://en.antaranews.com/news/406851/indonesia-targets-first-nuclear-power-plant-by-2032-2034
[4] Kementerian ESDM RI - Media Center - Arsip Berita - Wamen ESDM: PLTN Jadi Opsi Strategis Transisi Energi Menuju Net Zero Emission - https://www.esdm.go.id/id/media-center/arsip-berita/wamen-esdm-pltn-jadi-opsi-strategis-transisi-energi-menuju-net-zero-emission
[5] Indonesia sets 2032 target for first nuclear power plant | Asian Power - https://asian-power.com/exclusive/indonesia-sets-2032-target-first-nuclear-power-plant
[6] Site selection for first nuclear plant expected by mid-2026, says renewables official - Regulations - The Jakarta Post - https://www.thejakartapost.com/business/2026/02/16/site-selection-for-first-nuclear-plant-expected-by-mid-2026-says-renewables-official
[7] The Role of Nuclear Power Plants in Indonesia towards Net Zero Emissions (NZE) in 2060 with a Multi Regions Approach - https://doi.org/10.5109/7151715
[8] Integrated power sector decarbonization pathways in Indonesia: system-level assessment of green hydrogen, carbon pricing, and multi-energy transition toward 2050 - https://doi.org/10.1093/ce/zkag037
[9] Quake-prone Indonesia’s first nuclear power plant plan stokes safety fears | South China Morning Post - https://www.scmp.com/news/asia/southeast-asia/article/3364952/quake-prone-indonesias-first-nuclear-power-plant-plan-stokes-safety-fears
[10] Badan Pengawas Tenaga Nuklir - BAPETEN Discusses Cooperation Agreement with PVMBG-Geological Agency - https://www.bapeten.go.id/berita/bapeten-discusses-cooperation-agreement-with-pvmbggeological-agency-145022
[11] Indonesia brings forward nuclear power plant development to 2029 - ANTARA News - https://en.antaranews.com/news/342626/indonesia-brings-forward-nuclear-power-plant-development-to-2029
[12] PLN dan Pemerintah Siapkan PLTN sebagai Solusi Energi Andal, Bersih, dan Terjangkau - https://web.pln.co.id/cms/media/siaran-pers/2025/08/pln-pemerintah-pltn-energi-andal-bersih-terjangkau/
[13] Prospects and Challenges of Nuclear Power and Small Modular Reactors in Indonesia - https://hdl.handle.net/11343/159097
[14] Polemik Pembangunan PLTN di Indonesia | tempo.co - https://www.tempo.co/ekonomi/polemik-pembangunan-pltn-di-indonesia-1815481
[15] Nuclear option: Indonesia seeks to grow energy, cut emissions - https://www.france24.com/en/live-news/20250527-nuclear-option-indonesia-seeks-to-grow-energy-cut-emissions
[16] Development of nuclear power to meet the target of NZE roadmap: Rationalization - https://doi.org/10.1063/5.0192895
[17] Indonesia's RUPTL outlines faster growth in fossil fuel use, downgrades ambition for clean energy – Centre for Research on Energy and Clean Air - https://energyandcleanair.org/publication/indonesias-ruptl-outlines-faster-growth-in-fossil-fuel-use-downgrades-ambition-for-clean-energy/
[18] Earthquake-prone Indonesia considers nuclear power plan as 29 possible plant sites revealed - ABC News - https://www.abc.net.au/news/2024-12-27/earthquake-prone-indonesia-plans-for-nuclear-power/104758008</t>
        </is>
      </c>
    </row>
    <row r="22" ht="150" customHeight="1">
      <c r="A22" s="14" t="inlineStr">
        <is>
          <t>sources-deepfake</t>
        </is>
      </c>
      <c r="B22" s="14" t="inlineStr">
        <is>
          <t>News + papers</t>
        </is>
      </c>
      <c r="C22" s="15" t="inlineStr">
        <is>
          <t>What does recent research say about how well deepfake detectors catch face-swap attacks in identity verification, and have banks or regulators reported real deepfake fraud cases?</t>
        </is>
      </c>
      <c r="D22" s="15" t="n">
        <v>3</v>
      </c>
      <c r="E22" s="15" t="inlineStr">
        <is>
          <t>The answer cites multiple research studies with concrete detection accuracy and generalisation findings and multiple real reported cases and regulator alerts involving deepfake fraud in banking/finance, satisfying both required elements.</t>
        </is>
      </c>
      <c r="F22" s="15" t="inlineStr">
        <is>
          <t>facts</t>
        </is>
      </c>
      <c r="G22" s="15" t="n"/>
      <c r="H22" s="15" t="n">
        <v>2</v>
      </c>
      <c r="I22" s="15" t="n">
        <v>41</v>
      </c>
      <c r="J22" s="15" t="inlineStr">
        <is>
          <t>t1 [neutral] Find recent research from 2023-2026 on how accurately deepfake detectors catch face-swap attacks in remote identity verification, including peer-reviewed studies, industry benchmarks, and metrics such as APCER, BPCER, false accept rates, and attack success rates.
t2 [neutral] Find documented real-world deepfake fraud cases from 2023-2026 reported by banks, fintechs, financial regulators, or law enforcement where face-swap or deepfake video attacks targeted identity verification or caused financial losses.
r2-1 [neutral] Find reports or statements from banks or regulators about real deepfake fraud cases, including any known case counts, losses, or official warnings.
r2-2 [neutral] Find empirical measurements of deepfake detector performance specifically against face-swap attacks in identity verification systems, such as APCER/BPCER/EER, accuracy, FNR, or AUC on face-swap attacks targeting remote identity verification.</t>
        </is>
      </c>
      <c r="K22" s="15" t="n"/>
      <c r="L22" s="15" t="inlineStr">
        <is>
          <t>Recent research gives a mixed and often sobering picture of how well deepfake detectors catch face-swap attacks in identity verification. Some controlled tests show strong results for a specific product or protocol, but broader benchmarks find high miss rates, especially against face-swap, low-quality, and adversarial material.
In a 2026 peer-reviewed comparison aimed at remote biometric verification, the hybrid open-source GenConViT detector achieved 0.843 accuracy, 0.825 F1, and 0.923 specificity against face-merging and image-to-video deepfakes. [1] That was close to commercial platforms, which scored 0.882–0.901 accuracy. [1] But the evaluation used only 51 videos—26 authentic and 25 synthetic—so those figures rest on a small sample. [1] The same study found that classical CNN detectors did not generalize well: EfficientNet-B7 had recall of only 0.240 against boundary-free face-swap-to-video synthesis. [1]
Larger-scale tests of cloud-based detection APIs are less reassuring. In the DEEPFAKER benchmark, all cloud detection APIs had false negative rates above 60% on deepfake samples, while false positive rates on real samples were mostly under 40%. [2] Baidu Cloud misclassified every fake sample as real, a 100% false negative rate. [2] Adversarial deepfakes achieved about 70% attack success against all cloud-based vendor APIs tested. [2] In one real-world setting, Tencent’s API had a 61.5% false negative rate on original deepfake videos, rising to 93.2% attack success when the videos were adversarially modified. [3]
Face-swap detection also degrades sharply with video quality. [4] On a 2025 video-conference face-swap benchmark, the best model, X-CLIP, reached only 0.667 video-level AUC on the full benchmark, and video ROC-AUC mostly did not exceed 0.7. [4] Its AUC dropped from 0.804 on 1080p raw video to 0.560 on heavily compressed 270p video. [4] Other face-swap dataset results are similarly modest: MesoNet and DCT detectors showed 61–69% total accuracy, with DCT precision of 88.9% and 70.6% and AUCs of 85.2% and 69.3% on two datasets. [5] A separate study found that fusing human examiner decisions with algorithm scores improved face-manipulation detection accuracy by more than 13.5 percentage points on one dataset and more than 19 points on another, indicating that standalone automated detection of face swaps is often insufficient. [6]
At the same time, some controlled identity-verification tests show much better results. iBeta’s ISO/IEC 30107-3 Level 2 test of TransUnion TruValidate Anti-Deepfake Liveness v3.3.5 in May–August 2025 recorded an APCER of 0% across 1,500 presentation attacks over five species on iOS and Android. [7] That is a strong vendor-specific lab result, but it does not establish how broadly face-swap detectors perform across different systems and real-world conditions. In a U.S. Department of Homeland Security Science and Technology remote identity validation demonstration, the median presentation attack rejection rate was 78%, and no systems met the proposed attack rejection and user success goals. [8] By contrast, median selfie-match-to-document systems rejected 99.99% of imposters, showing that the face-matching stage was much stronger than presentation attack detection in that pipeline. [8]
A broader caveat comes from a 2024 assessment framework arguing that detector performance is often reported on benchmarks that poorly reflect real-world conditions. [9] That work calls for testing under realistic processing operations and workflow distortions before relying on published accuracy figures. [9] There is also evidence that attacks are improving: a 2024 study introduced a one-shot face-swap technique blending reenactment and swapping that improved attack success rates by up to 11% against verification systems compared with previous face-swapping methods. [10]
On the question of real fraud cases, yes—regulators, law enforcement, and banks have reported or responded to actual deepfake fraud, though many reported cases involve voice cloning rather than face-swap video.
FinCEN issued an alert on 13 November 2024 titled “FinCEN Alert on Fraud Schemes Involving Deepfake Media Targeting Financial Institutions.” In Singapore, a parliamentary question to MAS cited a case involving a loss of around $5 million related to AI-generated deepfake impersonation and enhanced bank safeguards. [11][12] MAS also said banks had issued advisories cautioning customers against deepfake-enabled scams. [11] Singapore authorities separately warned that scammers used digital manipulation or deepfakes to impersonate high-ranking executives on video calls and instruct victims to transfer company funds; in some cases, the calls also involved scammers impersonating MAS officials. [13]
Hong Kong police arrested eight people accused of using deepfakes to bypass bank verification checks. [14] They allegedly used at least 21 lost Hong Kong identity cards to make 44 applications to open local bank accounts, replacing photos on the lost cards with deepfakes that incorporated the fraudsters’ facial features. [14] This is one of the clearest reported face-swap attacks specifically aimed at bank identity verification.
Several large reported deepfake frauds involve cloned voices. Fraudsters using AI-cloned voices to impersonate senior bank executives stole €120 million from three Italian lenders. [15] Milan prosecutors are also investigating similar cases, including a €24 million theft from Banca Ifis. [15] In another voice-cloning case, scammers tricked a bank manager into approving multiple transfers and stole approximately US$35 million. [16] Separately, fraudsters used an AI deepfake to steal $25 million from UK engineering firm Arup. [17]
Academic incident analysis has documented 167 cases of AI- and deepfake-enabled fraud worldwide between 2019 and 2025, and one study reported that deepfake identity fraud had the highest growth rate among AI-enabled fraud categories, at 318%. [18][19] Overall, the evidence shows that deepfake detectors—especially against face-swap attacks—remain unreliable in many real-world settings, while face-swap and voice deepfake fraud against financial institutions is already occurring and is being treated by regulators as a serious threat.
Sources:
[1] COMPARATIVE EVALUATION OF DEEPFAKE DETECTION MODELS FOR SECURE REMOTE BIOMETRIC VERIFICATION - https://doi.org/10.28925/2663-4023.2026.34.1349
[2] DEEPFAKER: A Unified Evaluation Platform for Facial Deepfake and Detection Models - https://doi.org/10.1145/3634914
[3] DEEPFAKER: A Unified Evaluation Platform for Facial Deepfake and Detection Models | ACM Transactions on Privacy and Security - https://dl.acm.org/doi/full/10.1145/3634914
[4] VCF: A Real-World Video Conference Deepfake Benchmark for Face-Swap Detection and Robustness Evaluation - https://doi.org/10.5194/isprs-archives-xlviii-2-w9-2025-169-2025
[5] Ensemble-Based Biometric Verification: Defending Against Multi-Strategy Deepfake Image Generation - https://doi.org/10.3390/computers14060225
[6] Conditional Face Image Manipulation Detection: Combining Algorithm and Human Examiner Decisions - https://doi.org/10.1145/3658664.3659649
[7] To whom it may concern, - https://www.ibeta.com/wp-content/uploads/2025/08/250801-TransUnion-PAD-Level-2-Confirmation-Letter.pdf
[8] A Quantitative Framework for Evaluating Remote Identity Validation Systems: Technical Demostration Analysis and Evaluation - https://www.dhs.gov/sites/default/files/2025-07/25_0723_st_quantitative_framework_for_evaluating_remote_identity_validation_systems.pdf
[9] Assessment framework for deepfake detection in real-world situations - https://doi.org/10.1186/s13640-024-00621-8
[10] Deepfakes: A New Kind of Adversarial Attacks Against Face Recognition Systems? - https://doi.org/10.1109/trustcom63139.2024.00341
[11] Oral reply to Parliamentary Question on bank safeguards against scams involving AI-generated deepfake impersonation - https://www.mas.gov.sg/news/parliamentary-replies/2026/oral-reply-to-parliamentary-question-on-bank-safeguards-against-deepfake-scams
[12] Alerts/Advisories/Notices/Bulletins/Fact Sheets - https://www.fincen.gov/resources/advisoriesbulletinsfact-sheets
[13] Joint Advisory on Scams Involving Digital Manipulation - https://www.mas.gov.sg/news/media-releases/2025/joint-pnr-by-spf-mas-and-csa
[14] 8 arrested over running Hong Kong scam ring, opening bank accounts with deepfakes | South China Morning Post - https://www.scmp.com/news/hong-kong/law-and-crime/article/3307159/hong-kong-police-arrest-8-over-deepfake-scams-bypassing-bank-security-checks
[15] How deepfake fraud is testing banks’ defences - The Banker - https://www.thebanker.com/content/90f91fee-e552-423e-9302-75eb726a47ef
[16] Examining the Role of Deepfake Technology in Organized Fraud: Legal, Security, and Governance Challenges - https://doi.org/10.6000/2817-2302.2025.04.02
[17] Cybercrime: Lessons learned from a $25m deepfake attack  | World Economic Forum - https://www.weforum.org/stories/2025/02/deepfake-ai-cybercrime-arup/
[18] AI-driven fraud as an emerging cyber risk: Evidence from a global incident-based analysis - https://doi.org/10.1080/07366981.2026.2631066
[19] The use of generative AI by financial criminals: Emerging threats and countermeasures for banks - https://doi.org/10.33545/26179210.2025.v8.i2.693</t>
        </is>
      </c>
    </row>
    <row r="23" ht="150" customHeight="1">
      <c r="A23" s="14" t="inlineStr">
        <is>
          <t>sources-lending</t>
        </is>
      </c>
      <c r="B23" s="14" t="inlineStr">
        <is>
          <t>News + papers</t>
        </is>
      </c>
      <c r="C23" s="15" t="inlineStr">
        <is>
          <t>What did the latest news say about OJK's fintech lending default rate (TWP90), and what does academic research identify as the main drivers of online lending defaults?</t>
        </is>
      </c>
      <c r="D23" s="15" t="n">
        <v>2</v>
      </c>
      <c r="E23" s="15" t="inlineStr">
        <is>
          <t>The answer substantially covers both the recent OJK TWP90 figure and academic drivers of online lending defaults, but the factual claims and research findings are uncited.</t>
        </is>
      </c>
      <c r="F23" s="15" t="inlineStr">
        <is>
          <t>facts</t>
        </is>
      </c>
      <c r="G23" s="15" t="n"/>
      <c r="H23" s="15" t="n">
        <v>1</v>
      </c>
      <c r="I23" s="15" t="n">
        <v>36</v>
      </c>
      <c r="J23" s="15" t="inlineStr">
        <is>
          <t>t1 [neutral] Find the latest reported OJK fintech lending default rate (TWP90) as of 2025-2026 from official OJK releases and reputable Indonesian financial news outlets such as Kompas, Bisnis Indonesia, CNN Indonesia, Reuters, or Jakarta Post, including the time period and any stated trend or regulatory response.
t2 [neutral] Identify what academic research says are the main drivers or determinants of online lending defaults, drawing on peer-reviewed journal articles, conference proceedings, and working papers from roughly 2015-2026.</t>
        </is>
      </c>
      <c r="K23" s="15" t="n"/>
      <c r="L23" s="15" t="inlineStr">
        <is>
          <t>The most recent OJK reporting in the findings was for August 2026. It showed the fintech-lending industry’s TWP90 rose to **4.73%**, up from **4.32% in July 2026**. OJK also reported that **16 P2P lending providers** had TWP90 above the 5% threshold. An OJK official attributed the movement to financing quality and borrowers’ repayment ability, and said OJK was closely monitoring funding quality and providers’ corrective actions.
The same reporting said outstanding P2P financing reached **Rp106.94 trillion** in August 2026, growing **22.07% year on year**. OJK is drafting an amendment to POJK 40/2024 to change the bad-loan category from more than 90 days late to more than **180 calendar days late**, aligning it with banking collectability rules. Ten of 94 P2P providers had not met the Rp12.5 billion minimum equity requirement, and eight providers had administrative sanctions imposed in September 2026.
The August figure is part of a longer upward trend. TWP90 was **4.62% in April 2026**, up from **2.93% in April 2025**; in January 2026 it was **4.38%**, up from **2.52% in January 2025**. During 2024 the rate was generally in the **2.3%–2.9%** range, then climbed above 4% from November 2025. In December 2025 it was **4.32%**, equivalent to about **Rp4.17 trillion** of Rp96.62 trillion in outstanding online loans.
Academic research on online lending defaults—mostly using Lending Club data, with some evidence from China and Europe—points to several main drivers. The most predictive factor in one study was the platform-assigned loan grade: **94.4% of A-grade loans** were fully paid versus **61.8% of G-grade loans**. Loan purpose also mattered: small-business loans were the riskiest, while wedding loans were the safest. A later large study similarly found that small-business loan purpose and recent credit inquiries were positively correlated with default, while annual income and credit-card loan purpose were negatively correlated.
Borrowers’ financial condition is a recurring theme. Higher debt-to-income ratios or broader indebtedness raise default probability. One study reported that a one-standard-deviation increase in debt-to-income raised predicted default probability by about **6% overall** and about **12% for high-risk loans**, against an average default rate of 12.5%. Lower annual income was also associated with higher default. Loan amount and length of employment were not significant in at least one study.
Loan pricing and macroeconomic conditions also appear in the research. Higher interest rates and higher inflation increased default probability in several studies, with the interest-rate effect stronger for lower-rated borrowers. A European P2P study found that higher stock-market returns also increased default probability. Some research also finds that borrowers’ ex post economic conditions and non-traditional data improve default prediction, and machine-learning methods added predictive accuracy, especially over shorter horizons.
Overall, the academic literature identifies borrower credit grade, debt burden, income, loan purpose, interest rates, inflation, and broader economic conditions as the main factors associated with online lending defaults, though much of the evidence comes from platforms outside Indonesia.</t>
        </is>
      </c>
    </row>
  </sheetData>
  <autoFilter ref="A1:L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2026-10-23T01:07:02Z</dcterms:created>
  <dcterms:modified xmlns:dcterms="http://purl.org/dc/terms/" xmlns:xsi="http://www.w3.org/2001/XMLSchema-instance" xsi:type="dcterms:W3CDTF">2026-10-23T01:07:02Z</dcterms:modified>
</cp:coreProperties>
</file>